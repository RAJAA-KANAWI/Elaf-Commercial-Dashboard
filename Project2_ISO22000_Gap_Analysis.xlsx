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Executive Summary" sheetId="1" state="visible" r:id="rId1"/>
    <sheet xmlns:r="http://schemas.openxmlformats.org/officeDocument/2006/relationships" name="🔍 Gap Analysis" sheetId="2" state="visible" r:id="rId2"/>
    <sheet xmlns:r="http://schemas.openxmlformats.org/officeDocument/2006/relationships" name="🗺️ Implementation Roadmap" sheetId="3" state="visible" r:id="rId3"/>
    <sheet xmlns:r="http://schemas.openxmlformats.org/officeDocument/2006/relationships" name="📊 Compliance 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D6F7A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9" fontId="8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9" fontId="4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9" fontId="4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9" fontId="4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9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by ISO Clause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Compliance Scorecard'!C2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Compliance Scorecard'!$B$3:$B$11</f>
            </numRef>
          </cat>
          <val>
            <numRef>
              <f>'📊 Compliance Scorecard'!$C$3:$C$11</f>
            </numRef>
          </val>
        </ser>
        <ser>
          <idx val="1"/>
          <order val="1"/>
          <tx>
            <strRef>
              <f>'📊 Compliance Scorecard'!D2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Compliance Scorecard'!$B$3:$B$11</f>
            </numRef>
          </cat>
          <val>
            <numRef>
              <f>'📊 Compliance Scorecard'!$D$3:$D$11</f>
            </numRef>
          </val>
        </ser>
        <ser>
          <idx val="2"/>
          <order val="2"/>
          <tx>
            <strRef>
              <f>'📊 Compliance Scorecard'!E2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Compliance Scorecard'!$B$3:$B$11</f>
            </numRef>
          </cat>
          <val>
            <numRef>
              <f>'📊 Compliance Scorecard'!$E$3:$E$11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2" customWidth="1" min="4" max="4"/>
    <col width="38" customWidth="1" min="5" max="5"/>
  </cols>
  <sheetData>
    <row r="1" ht="32" customHeight="1">
      <c r="A1" s="1" t="inlineStr">
        <is>
          <t>ISO 22000:2018 Gap Analysis — Business Case Report | تقرير تحليل الفجوات</t>
        </is>
      </c>
    </row>
    <row r="2" ht="28" customHeight="1">
      <c r="A2" s="2" t="inlineStr">
        <is>
          <t>PROJECT OVERVIEW | نظرة عامة على المشروع</t>
        </is>
      </c>
    </row>
    <row r="3" ht="28" customHeight="1">
      <c r="A3" s="3" t="inlineStr">
        <is>
          <t>Project</t>
        </is>
      </c>
      <c r="B3" s="4" t="inlineStr">
        <is>
          <t>ISO 22000:2018 Gap Analysis &amp; Certification Roadmap</t>
        </is>
      </c>
    </row>
    <row r="4" ht="28" customHeight="1">
      <c r="A4" s="5" t="inlineStr">
        <is>
          <t>Client</t>
        </is>
      </c>
      <c r="B4" s="6" t="inlineStr">
        <is>
          <t>Klybeck Life Sciences — Feed Additives Manufacturer, Eastern Region</t>
        </is>
      </c>
    </row>
    <row r="5" ht="28" customHeight="1">
      <c r="A5" s="3" t="inlineStr">
        <is>
          <t>Analyst</t>
        </is>
      </c>
      <c r="B5" s="4" t="inlineStr">
        <is>
          <t>Rajaa Al-Kanawi — Wadi Solutions Consulting</t>
        </is>
      </c>
    </row>
    <row r="6" ht="28" customHeight="1">
      <c r="A6" s="5" t="inlineStr">
        <is>
          <t>Date</t>
        </is>
      </c>
      <c r="B6" s="6" t="inlineStr">
        <is>
          <t>Q4 2024</t>
        </is>
      </c>
    </row>
    <row r="7" ht="28" customHeight="1">
      <c r="A7" s="3" t="inlineStr">
        <is>
          <t>Objective</t>
        </is>
      </c>
      <c r="B7" s="4" t="inlineStr">
        <is>
          <t>Assess current compliance, identify critical gaps, and build a phased implementation roadmap</t>
        </is>
      </c>
    </row>
    <row r="9" ht="28" customHeight="1">
      <c r="A9" s="7" t="inlineStr">
        <is>
          <t>KEY FINDINGS | النتائج الرئيسية</t>
        </is>
      </c>
      <c r="B9" s="8" t="n"/>
      <c r="C9" s="8" t="n"/>
      <c r="D9" s="8" t="n"/>
      <c r="E9" s="8" t="n"/>
    </row>
    <row r="10" ht="32" customHeight="1">
      <c r="A10" s="9" t="inlineStr">
        <is>
          <t>Finding</t>
        </is>
      </c>
      <c r="B10" s="9" t="inlineStr">
        <is>
          <t>Status</t>
        </is>
      </c>
      <c r="C10" s="9" t="inlineStr">
        <is>
          <t>Impact</t>
        </is>
      </c>
      <c r="D10" s="9" t="inlineStr">
        <is>
          <t>Priority</t>
        </is>
      </c>
      <c r="E10" s="9" t="inlineStr">
        <is>
          <t>Recommendation</t>
        </is>
      </c>
    </row>
    <row r="11" ht="32" customHeight="1">
      <c r="A11" s="10" t="inlineStr">
        <is>
          <t>Overall Compliance Score</t>
        </is>
      </c>
      <c r="B11" s="10" t="inlineStr">
        <is>
          <t>62.7%</t>
        </is>
      </c>
      <c r="C11" s="10" t="inlineStr">
        <is>
          <t>🔴 Critical</t>
        </is>
      </c>
      <c r="D11" s="10" t="inlineStr">
        <is>
          <t>P1</t>
        </is>
      </c>
      <c r="E11" s="10" t="inlineStr">
        <is>
          <t>Immediate action required — 60+ days to certification</t>
        </is>
      </c>
    </row>
    <row r="12" ht="32" customHeight="1">
      <c r="A12" s="10" t="inlineStr">
        <is>
          <t>Clause 8 (HACCP) Compliance</t>
        </is>
      </c>
      <c r="B12" s="10" t="inlineStr">
        <is>
          <t>31%</t>
        </is>
      </c>
      <c r="C12" s="10" t="inlineStr">
        <is>
          <t>🔴 Critical</t>
        </is>
      </c>
      <c r="D12" s="10" t="inlineStr">
        <is>
          <t>P1</t>
        </is>
      </c>
      <c r="E12" s="10" t="inlineStr">
        <is>
          <t>Rebuild HACCP system from scratch — highest risk area</t>
        </is>
      </c>
    </row>
    <row r="13" ht="32" customHeight="1">
      <c r="A13" s="11" t="inlineStr">
        <is>
          <t>Clause 6 (Planning) Compliance</t>
        </is>
      </c>
      <c r="B13" s="11" t="inlineStr">
        <is>
          <t>55%</t>
        </is>
      </c>
      <c r="C13" s="11" t="inlineStr">
        <is>
          <t>🟠 High</t>
        </is>
      </c>
      <c r="D13" s="11" t="inlineStr">
        <is>
          <t>P2</t>
        </is>
      </c>
      <c r="E13" s="11" t="inlineStr">
        <is>
          <t>Develop food safety objectives and risk register</t>
        </is>
      </c>
    </row>
    <row r="14" ht="32" customHeight="1">
      <c r="A14" s="12" t="inlineStr">
        <is>
          <t>Clause 7 (Support) Compliance</t>
        </is>
      </c>
      <c r="B14" s="12" t="inlineStr">
        <is>
          <t>68%</t>
        </is>
      </c>
      <c r="C14" s="12" t="inlineStr">
        <is>
          <t>🟡 Medium</t>
        </is>
      </c>
      <c r="D14" s="12" t="inlineStr">
        <is>
          <t>P2</t>
        </is>
      </c>
      <c r="E14" s="12" t="inlineStr">
        <is>
          <t>Update training records and calibration procedures</t>
        </is>
      </c>
    </row>
    <row r="15" ht="32" customHeight="1">
      <c r="A15" s="10" t="inlineStr">
        <is>
          <t>Clause 9 (Performance) Compliance</t>
        </is>
      </c>
      <c r="B15" s="10" t="inlineStr">
        <is>
          <t>45%</t>
        </is>
      </c>
      <c r="C15" s="10" t="inlineStr">
        <is>
          <t>🟠 High</t>
        </is>
      </c>
      <c r="D15" s="10" t="inlineStr">
        <is>
          <t>P1</t>
        </is>
      </c>
      <c r="E15" s="10" t="inlineStr">
        <is>
          <t>Implement internal audit schedule and KPI tracking</t>
        </is>
      </c>
    </row>
    <row r="16" ht="32" customHeight="1">
      <c r="A16" s="12" t="inlineStr">
        <is>
          <t>Clause 10 (Improvement) Compliance</t>
        </is>
      </c>
      <c r="B16" s="12" t="inlineStr">
        <is>
          <t>52%</t>
        </is>
      </c>
      <c r="C16" s="12" t="inlineStr">
        <is>
          <t>🟡 Medium</t>
        </is>
      </c>
      <c r="D16" s="12" t="inlineStr">
        <is>
          <t>P3</t>
        </is>
      </c>
      <c r="E16" s="12" t="inlineStr">
        <is>
          <t>Establish corrective action procedure</t>
        </is>
      </c>
    </row>
    <row r="17" ht="32" customHeight="1">
      <c r="A17" s="10" t="inlineStr">
        <is>
          <t>Documentation Gaps</t>
        </is>
      </c>
      <c r="B17" s="10" t="inlineStr">
        <is>
          <t>14 documents missing</t>
        </is>
      </c>
      <c r="C17" s="10" t="inlineStr">
        <is>
          <t>🔴 Critical</t>
        </is>
      </c>
      <c r="D17" s="10" t="inlineStr">
        <is>
          <t>P1</t>
        </is>
      </c>
      <c r="E17" s="10" t="inlineStr">
        <is>
          <t>Develop all mandatory procedures within 30 days</t>
        </is>
      </c>
    </row>
    <row r="18" ht="32" customHeight="1">
      <c r="A18" s="11" t="inlineStr">
        <is>
          <t>Staff Competency</t>
        </is>
      </c>
      <c r="B18" s="11" t="inlineStr">
        <is>
          <t>40% trained</t>
        </is>
      </c>
      <c r="C18" s="11" t="inlineStr">
        <is>
          <t>🟠 High</t>
        </is>
      </c>
      <c r="D18" s="11" t="inlineStr">
        <is>
          <t>P2</t>
        </is>
      </c>
      <c r="E18" s="11" t="inlineStr">
        <is>
          <t>Deliver awareness training to all food handlers</t>
        </is>
      </c>
    </row>
  </sheetData>
  <mergeCells count="8">
    <mergeCell ref="B4:E4"/>
    <mergeCell ref="A2:E2"/>
    <mergeCell ref="B6:E6"/>
    <mergeCell ref="B7:E7"/>
    <mergeCell ref="A1:E1"/>
    <mergeCell ref="B3:E3"/>
    <mergeCell ref="B5:E5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35" customWidth="1" min="5" max="5"/>
    <col width="12" customWidth="1" min="6" max="6"/>
    <col width="40" customWidth="1" min="7" max="7"/>
  </cols>
  <sheetData>
    <row r="1" ht="32" customHeight="1">
      <c r="A1" s="13" t="inlineStr">
        <is>
          <t>ISO 22000:2018 Clause-by-Clause Gap Analysis | تحليل الفجوات بند ببند</t>
        </is>
      </c>
    </row>
    <row r="2" ht="40" customHeight="1">
      <c r="A2" s="14" t="inlineStr">
        <is>
          <t>ISO Clause</t>
        </is>
      </c>
      <c r="B2" s="14" t="inlineStr">
        <is>
          <t>Requirement</t>
        </is>
      </c>
      <c r="C2" s="14" t="inlineStr">
        <is>
          <t>Current Status</t>
        </is>
      </c>
      <c r="D2" s="14" t="inlineStr">
        <is>
          <t>Compliance%</t>
        </is>
      </c>
      <c r="E2" s="14" t="inlineStr">
        <is>
          <t>Gap Description</t>
        </is>
      </c>
      <c r="F2" s="14" t="inlineStr">
        <is>
          <t>Risk Level</t>
        </is>
      </c>
      <c r="G2" s="14" t="inlineStr">
        <is>
          <t>Recommended Action</t>
        </is>
      </c>
    </row>
    <row r="3" ht="40" customHeight="1">
      <c r="A3" s="15" t="inlineStr">
        <is>
          <t>4. Context</t>
        </is>
      </c>
      <c r="B3" s="16" t="inlineStr">
        <is>
          <t>Understanding the organization</t>
        </is>
      </c>
      <c r="C3" s="17" t="inlineStr">
        <is>
          <t>Partially documented</t>
        </is>
      </c>
      <c r="D3" s="18" t="n">
        <v>0.65</v>
      </c>
      <c r="E3" s="16" t="inlineStr">
        <is>
          <t>Stakeholder analysis incomplete; external issues not mapped</t>
        </is>
      </c>
      <c r="F3" s="17" t="inlineStr">
        <is>
          <t>Medium</t>
        </is>
      </c>
      <c r="G3" s="16" t="inlineStr">
        <is>
          <t>Complete interested parties analysis and context document</t>
        </is>
      </c>
    </row>
    <row r="4" ht="40" customHeight="1">
      <c r="A4" s="19" t="inlineStr">
        <is>
          <t>5. Leadership</t>
        </is>
      </c>
      <c r="B4" s="20" t="inlineStr">
        <is>
          <t>Management commitment &amp; food safety policy</t>
        </is>
      </c>
      <c r="C4" s="21" t="inlineStr">
        <is>
          <t>Policy exists but outdated</t>
        </is>
      </c>
      <c r="D4" s="22" t="n">
        <v>0.58</v>
      </c>
      <c r="E4" s="20" t="inlineStr">
        <is>
          <t>Policy not reviewed in 2 years; food safety culture not measured</t>
        </is>
      </c>
      <c r="F4" s="21" t="inlineStr">
        <is>
          <t>High</t>
        </is>
      </c>
      <c r="G4" s="20" t="inlineStr">
        <is>
          <t>Update FSMS policy; conduct management review; measure FSC score</t>
        </is>
      </c>
    </row>
    <row r="5" ht="40" customHeight="1">
      <c r="A5" s="15" t="inlineStr">
        <is>
          <t>6. Planning</t>
        </is>
      </c>
      <c r="B5" s="16" t="inlineStr">
        <is>
          <t>Risk management &amp; objectives</t>
        </is>
      </c>
      <c r="C5" s="17" t="inlineStr">
        <is>
          <t>Minimal documentation</t>
        </is>
      </c>
      <c r="D5" s="22" t="n">
        <v>0.55</v>
      </c>
      <c r="E5" s="16" t="inlineStr">
        <is>
          <t>No formal risk register; food safety objectives not measurable</t>
        </is>
      </c>
      <c r="F5" s="17" t="inlineStr">
        <is>
          <t>High</t>
        </is>
      </c>
      <c r="G5" s="16" t="inlineStr">
        <is>
          <t>Develop risk register using ISO 31000; set SMART food safety KPIs</t>
        </is>
      </c>
    </row>
    <row r="6" ht="40" customHeight="1">
      <c r="A6" s="19" t="inlineStr">
        <is>
          <t>7.1 Resources</t>
        </is>
      </c>
      <c r="B6" s="20" t="inlineStr">
        <is>
          <t>Infrastructure &amp; work environment</t>
        </is>
      </c>
      <c r="C6" s="21" t="inlineStr">
        <is>
          <t>Partially compliant</t>
        </is>
      </c>
      <c r="D6" s="18" t="n">
        <v>0.72</v>
      </c>
      <c r="E6" s="20" t="inlineStr">
        <is>
          <t>Maintenance schedule exists but calibration records incomplete</t>
        </is>
      </c>
      <c r="F6" s="21" t="inlineStr">
        <is>
          <t>Medium</t>
        </is>
      </c>
      <c r="G6" s="20" t="inlineStr">
        <is>
          <t>Complete calibration program KLS-QP-MC-001; update equipment register</t>
        </is>
      </c>
    </row>
    <row r="7" ht="40" customHeight="1">
      <c r="A7" s="15" t="inlineStr">
        <is>
          <t>7.2 Competency</t>
        </is>
      </c>
      <c r="B7" s="16" t="inlineStr">
        <is>
          <t>Training &amp; awareness</t>
        </is>
      </c>
      <c r="C7" s="17" t="inlineStr">
        <is>
          <t>Below standard</t>
        </is>
      </c>
      <c r="D7" s="23" t="n">
        <v>0.48</v>
      </c>
      <c r="E7" s="16" t="inlineStr">
        <is>
          <t>40% of food handlers have no documented food safety training</t>
        </is>
      </c>
      <c r="F7" s="17" t="inlineStr">
        <is>
          <t>High</t>
        </is>
      </c>
      <c r="G7" s="16" t="inlineStr">
        <is>
          <t>Develop training matrix; deliver ISO 22000 awareness program to all staff</t>
        </is>
      </c>
    </row>
    <row r="8" ht="40" customHeight="1">
      <c r="A8" s="19" t="inlineStr">
        <is>
          <t>7.4 Communication</t>
        </is>
      </c>
      <c r="B8" s="20" t="inlineStr">
        <is>
          <t>Internal &amp; external comms</t>
        </is>
      </c>
      <c r="C8" s="21" t="inlineStr">
        <is>
          <t>Basic system only</t>
        </is>
      </c>
      <c r="D8" s="22" t="n">
        <v>0.62</v>
      </c>
      <c r="E8" s="20" t="inlineStr">
        <is>
          <t>No formal communication procedure; supplier communication ad hoc</t>
        </is>
      </c>
      <c r="F8" s="21" t="inlineStr">
        <is>
          <t>Medium</t>
        </is>
      </c>
      <c r="G8" s="20" t="inlineStr">
        <is>
          <t>Establish communication procedure; supplier approval process</t>
        </is>
      </c>
    </row>
    <row r="9" ht="40" customHeight="1">
      <c r="A9" s="15" t="inlineStr">
        <is>
          <t>8.1 Operational Planning</t>
        </is>
      </c>
      <c r="B9" s="16" t="inlineStr">
        <is>
          <t>PRPs &amp; operational controls</t>
        </is>
      </c>
      <c r="C9" s="17" t="inlineStr">
        <is>
          <t>Major gaps</t>
        </is>
      </c>
      <c r="D9" s="23" t="n">
        <v>0.42</v>
      </c>
      <c r="E9" s="16" t="inlineStr">
        <is>
          <t>PRPs documented but not validated; monitoring incomplete</t>
        </is>
      </c>
      <c r="F9" s="17" t="inlineStr">
        <is>
          <t>Critical</t>
        </is>
      </c>
      <c r="G9" s="16" t="inlineStr">
        <is>
          <t>Validate all PRPs against Codex standards; implement monitoring records</t>
        </is>
      </c>
    </row>
    <row r="10" ht="40" customHeight="1">
      <c r="A10" s="19" t="inlineStr">
        <is>
          <t>8.2 PRPs</t>
        </is>
      </c>
      <c r="B10" s="20" t="inlineStr">
        <is>
          <t>Prerequisite programs</t>
        </is>
      </c>
      <c r="C10" s="21" t="inlineStr">
        <is>
          <t>Partially implemented</t>
        </is>
      </c>
      <c r="D10" s="22" t="n">
        <v>0.5</v>
      </c>
      <c r="E10" s="20" t="inlineStr">
        <is>
          <t>8 of 15 PRPs documented; 4 not implemented; 3 missing</t>
        </is>
      </c>
      <c r="F10" s="21" t="inlineStr">
        <is>
          <t>High</t>
        </is>
      </c>
      <c r="G10" s="20" t="inlineStr">
        <is>
          <t>Complete missing PRPs; implement and verify all within 45 days</t>
        </is>
      </c>
    </row>
    <row r="11" ht="40" customHeight="1">
      <c r="A11" s="15" t="inlineStr">
        <is>
          <t>8.5 HACCP</t>
        </is>
      </c>
      <c r="B11" s="16" t="inlineStr">
        <is>
          <t>Hazard analysis &amp; critical control points</t>
        </is>
      </c>
      <c r="C11" s="17" t="inlineStr">
        <is>
          <t>Critical gaps</t>
        </is>
      </c>
      <c r="D11" s="23" t="n">
        <v>0.31</v>
      </c>
      <c r="E11" s="16" t="inlineStr">
        <is>
          <t>HACCP study outdated (2019); CCPs not verified; critical limits unvalidated</t>
        </is>
      </c>
      <c r="F11" s="17" t="inlineStr">
        <is>
          <t>Critical</t>
        </is>
      </c>
      <c r="G11" s="16" t="inlineStr">
        <is>
          <t>Rebuild complete HACCP system with current product lines</t>
        </is>
      </c>
    </row>
    <row r="12" ht="40" customHeight="1">
      <c r="A12" s="19" t="inlineStr">
        <is>
          <t>8.9 Nonconformity</t>
        </is>
      </c>
      <c r="B12" s="20" t="inlineStr">
        <is>
          <t>NC control &amp; corrective actions</t>
        </is>
      </c>
      <c r="C12" s="21" t="inlineStr">
        <is>
          <t>Minimal system</t>
        </is>
      </c>
      <c r="D12" s="23" t="n">
        <v>0.44</v>
      </c>
      <c r="E12" s="20" t="inlineStr">
        <is>
          <t>No formal NC register; root cause analysis not practiced</t>
        </is>
      </c>
      <c r="F12" s="21" t="inlineStr">
        <is>
          <t>High</t>
        </is>
      </c>
      <c r="G12" s="20" t="inlineStr">
        <is>
          <t>Implement NC procedure; train team on RCA methods (5-Why, Fishbone)</t>
        </is>
      </c>
    </row>
    <row r="13" ht="40" customHeight="1">
      <c r="A13" s="15" t="inlineStr">
        <is>
          <t>9.1 Monitoring</t>
        </is>
      </c>
      <c r="B13" s="16" t="inlineStr">
        <is>
          <t>Performance evaluation</t>
        </is>
      </c>
      <c r="C13" s="17" t="inlineStr">
        <is>
          <t>Not established</t>
        </is>
      </c>
      <c r="D13" s="23" t="n">
        <v>0.45</v>
      </c>
      <c r="E13" s="16" t="inlineStr">
        <is>
          <t>No KPIs tracked; internal audits irregular; customer feedback not analyzed</t>
        </is>
      </c>
      <c r="F13" s="17" t="inlineStr">
        <is>
          <t>High</t>
        </is>
      </c>
      <c r="G13" s="16" t="inlineStr">
        <is>
          <t>Define FSMS KPIs; establish audit schedule; implement feedback system</t>
        </is>
      </c>
    </row>
    <row r="14" ht="40" customHeight="1">
      <c r="A14" s="19" t="inlineStr">
        <is>
          <t>9.3 Management Review</t>
        </is>
      </c>
      <c r="B14" s="20" t="inlineStr">
        <is>
          <t>Top management oversight</t>
        </is>
      </c>
      <c r="C14" s="21" t="inlineStr">
        <is>
          <t>Annual only</t>
        </is>
      </c>
      <c r="D14" s="22" t="n">
        <v>0.6</v>
      </c>
      <c r="E14" s="20" t="inlineStr">
        <is>
          <t>Management review held annually; no formal agenda or outputs recorded</t>
        </is>
      </c>
      <c r="F14" s="21" t="inlineStr">
        <is>
          <t>Medium</t>
        </is>
      </c>
      <c r="G14" s="20" t="inlineStr">
        <is>
          <t>Increase to quarterly; use structured agenda; track action items</t>
        </is>
      </c>
    </row>
    <row r="15" ht="40" customHeight="1">
      <c r="A15" s="15" t="inlineStr">
        <is>
          <t>10.1 Improvement</t>
        </is>
      </c>
      <c r="B15" s="16" t="inlineStr">
        <is>
          <t>Continual improvement</t>
        </is>
      </c>
      <c r="C15" s="17" t="inlineStr">
        <is>
          <t>Reactive only</t>
        </is>
      </c>
      <c r="D15" s="22" t="n">
        <v>0.52</v>
      </c>
      <c r="E15" s="16" t="inlineStr">
        <is>
          <t>Improvements made reactively; no systematic improvement program</t>
        </is>
      </c>
      <c r="F15" s="17" t="inlineStr">
        <is>
          <t>Medium</t>
        </is>
      </c>
      <c r="G15" s="16" t="inlineStr">
        <is>
          <t>Establish continual improvement procedure linked to KPIs</t>
        </is>
      </c>
    </row>
    <row r="16" ht="40" customHeight="1">
      <c r="A16" s="19" t="inlineStr">
        <is>
          <t>10.3 Food Safety System Update</t>
        </is>
      </c>
      <c r="B16" s="20" t="inlineStr">
        <is>
          <t>FSMS updates</t>
        </is>
      </c>
      <c r="C16" s="21" t="inlineStr">
        <is>
          <t>Not formalized</t>
        </is>
      </c>
      <c r="D16" s="22" t="n">
        <v>0.55</v>
      </c>
      <c r="E16" s="20" t="inlineStr">
        <is>
          <t>System updates happen informally; no change management process</t>
        </is>
      </c>
      <c r="F16" s="21" t="inlineStr">
        <is>
          <t>Medium</t>
        </is>
      </c>
      <c r="G16" s="20" t="inlineStr">
        <is>
          <t>Formalize change management; link to document control procedure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0" customWidth="1" min="3" max="3"/>
    <col width="14" customWidth="1" min="4" max="4"/>
    <col width="14" customWidth="1" min="5" max="5"/>
    <col width="12" customWidth="1" min="6" max="6"/>
    <col width="28" customWidth="1" min="7" max="7"/>
    <col width="10" customWidth="1" min="8" max="8"/>
  </cols>
  <sheetData>
    <row r="1" ht="32" customHeight="1">
      <c r="A1" s="1" t="inlineStr">
        <is>
          <t>ISO 22000:2018 Implementation Roadmap — 90 Days to Stage 1 Audit | خارطة طريق التطبيق</t>
        </is>
      </c>
    </row>
    <row r="2" ht="36" customHeight="1">
      <c r="A2" s="24" t="inlineStr">
        <is>
          <t>Phase</t>
        </is>
      </c>
      <c r="B2" s="24" t="inlineStr">
        <is>
          <t>Action Item</t>
        </is>
      </c>
      <c r="C2" s="24" t="inlineStr">
        <is>
          <t>Owner</t>
        </is>
      </c>
      <c r="D2" s="24" t="inlineStr">
        <is>
          <t>Timeline</t>
        </is>
      </c>
      <c r="E2" s="24" t="inlineStr">
        <is>
          <t>Status</t>
        </is>
      </c>
      <c r="F2" s="24" t="inlineStr">
        <is>
          <t>Priority</t>
        </is>
      </c>
      <c r="G2" s="24" t="inlineStr">
        <is>
          <t>Business Impact</t>
        </is>
      </c>
      <c r="H2" s="24" t="inlineStr">
        <is>
          <t>Effort</t>
        </is>
      </c>
    </row>
    <row r="3" ht="35" customHeight="1">
      <c r="A3" s="25" t="inlineStr">
        <is>
          <t>Phase 1 (Days 1-30)</t>
        </is>
      </c>
      <c r="B3" s="26" t="inlineStr">
        <is>
          <t>Rebuild HACCP System — Hazard Analysis</t>
        </is>
      </c>
      <c r="C3" s="27" t="inlineStr">
        <is>
          <t>Food Safety Team + Consultant</t>
        </is>
      </c>
      <c r="D3" s="27" t="inlineStr">
        <is>
          <t>Days 1-15</t>
        </is>
      </c>
      <c r="E3" s="27" t="inlineStr">
        <is>
          <t>⬜ Not Started</t>
        </is>
      </c>
      <c r="F3" s="25" t="inlineStr">
        <is>
          <t>🔴 Critical</t>
        </is>
      </c>
      <c r="G3" s="26" t="inlineStr">
        <is>
          <t>Eliminates certification blocker</t>
        </is>
      </c>
      <c r="H3" s="27" t="inlineStr">
        <is>
          <t>High</t>
        </is>
      </c>
    </row>
    <row r="4" ht="35" customHeight="1">
      <c r="A4" s="25" t="inlineStr">
        <is>
          <t>Phase 1 (Days 1-30)</t>
        </is>
      </c>
      <c r="B4" s="26" t="inlineStr">
        <is>
          <t>Define CCPs and Critical Limits</t>
        </is>
      </c>
      <c r="C4" s="27" t="inlineStr">
        <is>
          <t>Food Safety Team</t>
        </is>
      </c>
      <c r="D4" s="27" t="inlineStr">
        <is>
          <t>Days 10-20</t>
        </is>
      </c>
      <c r="E4" s="27" t="inlineStr">
        <is>
          <t>⬜ Not Started</t>
        </is>
      </c>
      <c r="F4" s="25" t="inlineStr">
        <is>
          <t>🔴 Critical</t>
        </is>
      </c>
      <c r="G4" s="26" t="inlineStr">
        <is>
          <t>Core audit requirement</t>
        </is>
      </c>
      <c r="H4" s="27" t="inlineStr">
        <is>
          <t>High</t>
        </is>
      </c>
    </row>
    <row r="5" ht="35" customHeight="1">
      <c r="A5" s="25" t="inlineStr">
        <is>
          <t>Phase 1 (Days 1-30)</t>
        </is>
      </c>
      <c r="B5" s="26" t="inlineStr">
        <is>
          <t>Complete Missing PRPs (7 remaining)</t>
        </is>
      </c>
      <c r="C5" s="27" t="inlineStr">
        <is>
          <t>Operations Manager</t>
        </is>
      </c>
      <c r="D5" s="27" t="inlineStr">
        <is>
          <t>Days 1-25</t>
        </is>
      </c>
      <c r="E5" s="27" t="inlineStr">
        <is>
          <t>🔄 In Progress</t>
        </is>
      </c>
      <c r="F5" s="25" t="inlineStr">
        <is>
          <t>🔴 Critical</t>
        </is>
      </c>
      <c r="G5" s="26" t="inlineStr">
        <is>
          <t>Foundation of food safety system</t>
        </is>
      </c>
      <c r="H5" s="27" t="inlineStr">
        <is>
          <t>High</t>
        </is>
      </c>
    </row>
    <row r="6" ht="35" customHeight="1">
      <c r="A6" s="25" t="inlineStr">
        <is>
          <t>Phase 1 (Days 1-30)</t>
        </is>
      </c>
      <c r="B6" s="26" t="inlineStr">
        <is>
          <t>Deliver ISO 22000 Awareness Training</t>
        </is>
      </c>
      <c r="C6" s="27" t="inlineStr">
        <is>
          <t>HR + Consultant</t>
        </is>
      </c>
      <c r="D6" s="27" t="inlineStr">
        <is>
          <t>Days 5-15</t>
        </is>
      </c>
      <c r="E6" s="27" t="inlineStr">
        <is>
          <t>⬜ Not Started</t>
        </is>
      </c>
      <c r="F6" s="25" t="inlineStr">
        <is>
          <t>🟠 High</t>
        </is>
      </c>
      <c r="G6" s="26" t="inlineStr">
        <is>
          <t>Builds staff competency</t>
        </is>
      </c>
      <c r="H6" s="27" t="inlineStr">
        <is>
          <t>Medium</t>
        </is>
      </c>
    </row>
    <row r="7" ht="35" customHeight="1">
      <c r="A7" s="25" t="inlineStr">
        <is>
          <t>Phase 1 (Days 1-30)</t>
        </is>
      </c>
      <c r="B7" s="26" t="inlineStr">
        <is>
          <t>Complete Calibration Procedure (KLS-QP-MC-001)</t>
        </is>
      </c>
      <c r="C7" s="27" t="inlineStr">
        <is>
          <t>QC Manager</t>
        </is>
      </c>
      <c r="D7" s="27" t="inlineStr">
        <is>
          <t>Days 1-10</t>
        </is>
      </c>
      <c r="E7" s="27" t="inlineStr">
        <is>
          <t>✅ Complete</t>
        </is>
      </c>
      <c r="F7" s="25" t="inlineStr">
        <is>
          <t>🟠 High</t>
        </is>
      </c>
      <c r="G7" s="26" t="inlineStr">
        <is>
          <t>Measurement reliability</t>
        </is>
      </c>
      <c r="H7" s="27" t="inlineStr">
        <is>
          <t>Medium</t>
        </is>
      </c>
    </row>
    <row r="8" ht="35" customHeight="1">
      <c r="A8" s="28" t="inlineStr">
        <is>
          <t>Phase 2 (Days 31-60)</t>
        </is>
      </c>
      <c r="B8" s="29" t="inlineStr">
        <is>
          <t>Develop Food Safety Objectives &amp; KPIs</t>
        </is>
      </c>
      <c r="C8" s="30" t="inlineStr">
        <is>
          <t>Management + Consultant</t>
        </is>
      </c>
      <c r="D8" s="30" t="inlineStr">
        <is>
          <t>Days 31-40</t>
        </is>
      </c>
      <c r="E8" s="30" t="inlineStr">
        <is>
          <t>⬜ Not Started</t>
        </is>
      </c>
      <c r="F8" s="28" t="inlineStr">
        <is>
          <t>🟠 High</t>
        </is>
      </c>
      <c r="G8" s="29" t="inlineStr">
        <is>
          <t>Enables performance tracking</t>
        </is>
      </c>
      <c r="H8" s="30" t="inlineStr">
        <is>
          <t>Medium</t>
        </is>
      </c>
    </row>
    <row r="9" ht="35" customHeight="1">
      <c r="A9" s="28" t="inlineStr">
        <is>
          <t>Phase 2 (Days 31-60)</t>
        </is>
      </c>
      <c r="B9" s="29" t="inlineStr">
        <is>
          <t>Implement NC and Corrective Action Procedure</t>
        </is>
      </c>
      <c r="C9" s="30" t="inlineStr">
        <is>
          <t>Quality Team</t>
        </is>
      </c>
      <c r="D9" s="30" t="inlineStr">
        <is>
          <t>Days 31-45</t>
        </is>
      </c>
      <c r="E9" s="30" t="inlineStr">
        <is>
          <t>⬜ Not Started</t>
        </is>
      </c>
      <c r="F9" s="28" t="inlineStr">
        <is>
          <t>🟠 High</t>
        </is>
      </c>
      <c r="G9" s="29" t="inlineStr">
        <is>
          <t>Required for ISO compliance</t>
        </is>
      </c>
      <c r="H9" s="30" t="inlineStr">
        <is>
          <t>Medium</t>
        </is>
      </c>
    </row>
    <row r="10" ht="35" customHeight="1">
      <c r="A10" s="28" t="inlineStr">
        <is>
          <t>Phase 2 (Days 31-60)</t>
        </is>
      </c>
      <c r="B10" s="29" t="inlineStr">
        <is>
          <t>Conduct Management Review</t>
        </is>
      </c>
      <c r="C10" s="30" t="inlineStr">
        <is>
          <t>CEO + Management</t>
        </is>
      </c>
      <c r="D10" s="30" t="inlineStr">
        <is>
          <t>Day 45</t>
        </is>
      </c>
      <c r="E10" s="30" t="inlineStr">
        <is>
          <t>⬜ Not Started</t>
        </is>
      </c>
      <c r="F10" s="28" t="inlineStr">
        <is>
          <t>🟠 High</t>
        </is>
      </c>
      <c r="G10" s="29" t="inlineStr">
        <is>
          <t>Demonstrates leadership commitment</t>
        </is>
      </c>
      <c r="H10" s="30" t="inlineStr">
        <is>
          <t>Low</t>
        </is>
      </c>
    </row>
    <row r="11" ht="35" customHeight="1">
      <c r="A11" s="28" t="inlineStr">
        <is>
          <t>Phase 2 (Days 31-60)</t>
        </is>
      </c>
      <c r="B11" s="29" t="inlineStr">
        <is>
          <t>Validate all Monitoring Records (30 days data)</t>
        </is>
      </c>
      <c r="C11" s="30" t="inlineStr">
        <is>
          <t>Operations</t>
        </is>
      </c>
      <c r="D11" s="30" t="inlineStr">
        <is>
          <t>Days 31-60</t>
        </is>
      </c>
      <c r="E11" s="30" t="inlineStr">
        <is>
          <t>⬜ Not Started</t>
        </is>
      </c>
      <c r="F11" s="28" t="inlineStr">
        <is>
          <t>🔴 Critical</t>
        </is>
      </c>
      <c r="G11" s="29" t="inlineStr">
        <is>
          <t>Audit evidence requirement</t>
        </is>
      </c>
      <c r="H11" s="30" t="inlineStr">
        <is>
          <t>High</t>
        </is>
      </c>
    </row>
    <row r="12" ht="35" customHeight="1">
      <c r="A12" s="28" t="inlineStr">
        <is>
          <t>Phase 2 (Days 31-60)</t>
        </is>
      </c>
      <c r="B12" s="29" t="inlineStr">
        <is>
          <t>Update Food Safety Policy</t>
        </is>
      </c>
      <c r="C12" s="30" t="inlineStr">
        <is>
          <t>CEO</t>
        </is>
      </c>
      <c r="D12" s="30" t="inlineStr">
        <is>
          <t>Days 31-35</t>
        </is>
      </c>
      <c r="E12" s="30" t="inlineStr">
        <is>
          <t>⬜ Not Started</t>
        </is>
      </c>
      <c r="F12" s="28" t="inlineStr">
        <is>
          <t>🟡 Medium</t>
        </is>
      </c>
      <c r="G12" s="29" t="inlineStr">
        <is>
          <t>Governance document</t>
        </is>
      </c>
      <c r="H12" s="30" t="inlineStr">
        <is>
          <t>Low</t>
        </is>
      </c>
    </row>
    <row r="13" ht="35" customHeight="1">
      <c r="A13" s="31" t="inlineStr">
        <is>
          <t>Phase 3 (Days 61-90)</t>
        </is>
      </c>
      <c r="B13" s="32" t="inlineStr">
        <is>
          <t>Conduct Full Internal Audit</t>
        </is>
      </c>
      <c r="C13" s="33" t="inlineStr">
        <is>
          <t>Internal Auditor</t>
        </is>
      </c>
      <c r="D13" s="33" t="inlineStr">
        <is>
          <t>Day 65-70</t>
        </is>
      </c>
      <c r="E13" s="33" t="inlineStr">
        <is>
          <t>⬜ Not Started</t>
        </is>
      </c>
      <c r="F13" s="31" t="inlineStr">
        <is>
          <t>🔴 Critical</t>
        </is>
      </c>
      <c r="G13" s="32" t="inlineStr">
        <is>
          <t>Pre-Stage 1 readiness check</t>
        </is>
      </c>
      <c r="H13" s="33" t="inlineStr">
        <is>
          <t>High</t>
        </is>
      </c>
    </row>
    <row r="14" ht="35" customHeight="1">
      <c r="A14" s="31" t="inlineStr">
        <is>
          <t>Phase 3 (Days 61-90)</t>
        </is>
      </c>
      <c r="B14" s="32" t="inlineStr">
        <is>
          <t>Address Internal Audit Findings</t>
        </is>
      </c>
      <c r="C14" s="33" t="inlineStr">
        <is>
          <t>All Departments</t>
        </is>
      </c>
      <c r="D14" s="33" t="inlineStr">
        <is>
          <t>Days 71-80</t>
        </is>
      </c>
      <c r="E14" s="33" t="inlineStr">
        <is>
          <t>⬜ Not Started</t>
        </is>
      </c>
      <c r="F14" s="31" t="inlineStr">
        <is>
          <t>🔴 Critical</t>
        </is>
      </c>
      <c r="G14" s="32" t="inlineStr">
        <is>
          <t>Close gaps before external audit</t>
        </is>
      </c>
      <c r="H14" s="33" t="inlineStr">
        <is>
          <t>High</t>
        </is>
      </c>
    </row>
    <row r="15" ht="35" customHeight="1">
      <c r="A15" s="31" t="inlineStr">
        <is>
          <t>Phase 3 (Days 61-90)</t>
        </is>
      </c>
      <c r="B15" s="32" t="inlineStr">
        <is>
          <t>Stage 1 Documentation Audit (AQC)</t>
        </is>
      </c>
      <c r="C15" s="33" t="inlineStr">
        <is>
          <t>Certification Body</t>
        </is>
      </c>
      <c r="D15" s="33" t="inlineStr">
        <is>
          <t>Day 85-90</t>
        </is>
      </c>
      <c r="E15" s="33" t="inlineStr">
        <is>
          <t>⬜ Not Started</t>
        </is>
      </c>
      <c r="F15" s="31" t="inlineStr">
        <is>
          <t>🔴 Critical</t>
        </is>
      </c>
      <c r="G15" s="32" t="inlineStr">
        <is>
          <t>First official certification step</t>
        </is>
      </c>
      <c r="H15" s="33" t="inlineStr">
        <is>
          <t>High</t>
        </is>
      </c>
    </row>
    <row r="16" ht="35" customHeight="1">
      <c r="A16" s="31" t="inlineStr">
        <is>
          <t>Phase 3 (Days 61-90)</t>
        </is>
      </c>
      <c r="B16" s="32" t="inlineStr">
        <is>
          <t>Prepare Stage 2 Action Plan</t>
        </is>
      </c>
      <c r="C16" s="33" t="inlineStr">
        <is>
          <t>Consultant + Management</t>
        </is>
      </c>
      <c r="D16" s="33" t="inlineStr">
        <is>
          <t>Day 90</t>
        </is>
      </c>
      <c r="E16" s="33" t="inlineStr">
        <is>
          <t>⬜ Not Started</t>
        </is>
      </c>
      <c r="F16" s="31" t="inlineStr">
        <is>
          <t>🟠 High</t>
        </is>
      </c>
      <c r="G16" s="32" t="inlineStr">
        <is>
          <t>Roadmap post Stage 1</t>
        </is>
      </c>
      <c r="H16" s="33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</cols>
  <sheetData>
    <row r="1" ht="32" customHeight="1">
      <c r="A1" s="13" t="inlineStr">
        <is>
          <t>Compliance Scorecard &amp; Progress Tracker | بطاقة الأداء والتتبع</t>
        </is>
      </c>
    </row>
    <row r="2" ht="36" customHeight="1">
      <c r="A2" s="14" t="inlineStr">
        <is>
          <t>ISO Clause</t>
        </is>
      </c>
      <c r="B2" s="14" t="inlineStr">
        <is>
          <t>Clause Name</t>
        </is>
      </c>
      <c r="C2" s="14" t="inlineStr">
        <is>
          <t>Baseline %</t>
        </is>
      </c>
      <c r="D2" s="14" t="inlineStr">
        <is>
          <t>Target %</t>
        </is>
      </c>
      <c r="E2" s="14" t="inlineStr">
        <is>
          <t>Current %</t>
        </is>
      </c>
      <c r="F2" s="14" t="inlineStr">
        <is>
          <t>Gap to Close</t>
        </is>
      </c>
      <c r="G2" s="14" t="inlineStr">
        <is>
          <t>RAG Status</t>
        </is>
      </c>
    </row>
    <row r="3" ht="32" customHeight="1">
      <c r="A3" s="34" t="inlineStr">
        <is>
          <t>Clause 4</t>
        </is>
      </c>
      <c r="B3" s="35" t="inlineStr">
        <is>
          <t>Context of Organization</t>
        </is>
      </c>
      <c r="C3" s="36" t="n">
        <v>0.65</v>
      </c>
      <c r="D3" s="36" t="n">
        <v>0.9</v>
      </c>
      <c r="E3" s="36" t="n">
        <v>0.65</v>
      </c>
      <c r="F3" s="36" t="n">
        <v>0.25</v>
      </c>
      <c r="G3" s="34" t="inlineStr">
        <is>
          <t>🟡 Progressing</t>
        </is>
      </c>
    </row>
    <row r="4" ht="32" customHeight="1">
      <c r="A4" s="37" t="inlineStr">
        <is>
          <t>Clause 5</t>
        </is>
      </c>
      <c r="B4" s="38" t="inlineStr">
        <is>
          <t>Leadership &amp; Commitment</t>
        </is>
      </c>
      <c r="C4" s="39" t="n">
        <v>0.58</v>
      </c>
      <c r="D4" s="39" t="n">
        <v>0.9</v>
      </c>
      <c r="E4" s="39" t="n">
        <v>0.62</v>
      </c>
      <c r="F4" s="39" t="n">
        <v>0.28</v>
      </c>
      <c r="G4" s="37" t="inlineStr">
        <is>
          <t>🟠 At Risk</t>
        </is>
      </c>
    </row>
    <row r="5" ht="32" customHeight="1">
      <c r="A5" s="37" t="inlineStr">
        <is>
          <t>Clause 6</t>
        </is>
      </c>
      <c r="B5" s="38" t="inlineStr">
        <is>
          <t>Planning</t>
        </is>
      </c>
      <c r="C5" s="39" t="n">
        <v>0.55</v>
      </c>
      <c r="D5" s="39" t="n">
        <v>0.9</v>
      </c>
      <c r="E5" s="39" t="n">
        <v>0.58</v>
      </c>
      <c r="F5" s="39" t="n">
        <v>0.32</v>
      </c>
      <c r="G5" s="37" t="inlineStr">
        <is>
          <t>🟠 At Risk</t>
        </is>
      </c>
    </row>
    <row r="6" ht="32" customHeight="1">
      <c r="A6" s="34" t="inlineStr">
        <is>
          <t>Clause 7</t>
        </is>
      </c>
      <c r="B6" s="35" t="inlineStr">
        <is>
          <t>Support &amp; Resources</t>
        </is>
      </c>
      <c r="C6" s="36" t="n">
        <v>0.68</v>
      </c>
      <c r="D6" s="36" t="n">
        <v>0.9</v>
      </c>
      <c r="E6" s="36" t="n">
        <v>0.7</v>
      </c>
      <c r="F6" s="36" t="n">
        <v>0.2</v>
      </c>
      <c r="G6" s="34" t="inlineStr">
        <is>
          <t>🟡 Progressing</t>
        </is>
      </c>
    </row>
    <row r="7" ht="32" customHeight="1">
      <c r="A7" s="40" t="inlineStr">
        <is>
          <t>Clause 8.1-8.4</t>
        </is>
      </c>
      <c r="B7" s="41" t="inlineStr">
        <is>
          <t>Operational Planning</t>
        </is>
      </c>
      <c r="C7" s="42" t="n">
        <v>0.42</v>
      </c>
      <c r="D7" s="42" t="n">
        <v>0.85</v>
      </c>
      <c r="E7" s="42" t="n">
        <v>0.45</v>
      </c>
      <c r="F7" s="42" t="n">
        <v>0.4</v>
      </c>
      <c r="G7" s="40" t="inlineStr">
        <is>
          <t>🔴 Critical</t>
        </is>
      </c>
    </row>
    <row r="8" ht="32" customHeight="1">
      <c r="A8" s="40" t="inlineStr">
        <is>
          <t>Clause 8.5</t>
        </is>
      </c>
      <c r="B8" s="41" t="inlineStr">
        <is>
          <t>HACCP System</t>
        </is>
      </c>
      <c r="C8" s="42" t="n">
        <v>0.31</v>
      </c>
      <c r="D8" s="42" t="n">
        <v>0.9</v>
      </c>
      <c r="E8" s="42" t="n">
        <v>0.35</v>
      </c>
      <c r="F8" s="42" t="n">
        <v>0.55</v>
      </c>
      <c r="G8" s="40" t="inlineStr">
        <is>
          <t>🔴 Critical</t>
        </is>
      </c>
    </row>
    <row r="9" ht="32" customHeight="1">
      <c r="A9" s="40" t="inlineStr">
        <is>
          <t>Clause 8.9</t>
        </is>
      </c>
      <c r="B9" s="41" t="inlineStr">
        <is>
          <t>Nonconformity Control</t>
        </is>
      </c>
      <c r="C9" s="42" t="n">
        <v>0.44</v>
      </c>
      <c r="D9" s="42" t="n">
        <v>0.85</v>
      </c>
      <c r="E9" s="42" t="n">
        <v>0.48</v>
      </c>
      <c r="F9" s="42" t="n">
        <v>0.37</v>
      </c>
      <c r="G9" s="40" t="inlineStr">
        <is>
          <t>🔴 Critical</t>
        </is>
      </c>
    </row>
    <row r="10" ht="32" customHeight="1">
      <c r="A10" s="37" t="inlineStr">
        <is>
          <t>Clause 9</t>
        </is>
      </c>
      <c r="B10" s="38" t="inlineStr">
        <is>
          <t>Performance Evaluation</t>
        </is>
      </c>
      <c r="C10" s="39" t="n">
        <v>0.45</v>
      </c>
      <c r="D10" s="39" t="n">
        <v>0.9</v>
      </c>
      <c r="E10" s="39" t="n">
        <v>0.5</v>
      </c>
      <c r="F10" s="39" t="n">
        <v>0.4</v>
      </c>
      <c r="G10" s="37" t="inlineStr">
        <is>
          <t>🟠 At Risk</t>
        </is>
      </c>
    </row>
    <row r="11" ht="32" customHeight="1">
      <c r="A11" s="37" t="inlineStr">
        <is>
          <t>Clause 10</t>
        </is>
      </c>
      <c r="B11" s="38" t="inlineStr">
        <is>
          <t>Improvement</t>
        </is>
      </c>
      <c r="C11" s="39" t="n">
        <v>0.52</v>
      </c>
      <c r="D11" s="39" t="n">
        <v>0.9</v>
      </c>
      <c r="E11" s="39" t="n">
        <v>0.55</v>
      </c>
      <c r="F11" s="39" t="n">
        <v>0.35</v>
      </c>
      <c r="G11" s="37" t="inlineStr">
        <is>
          <t>🟠 At Risk</t>
        </is>
      </c>
    </row>
    <row r="12" ht="36" customHeight="1">
      <c r="A12" s="43" t="inlineStr">
        <is>
          <t>OVERALL</t>
        </is>
      </c>
      <c r="B12" s="43" t="inlineStr">
        <is>
          <t>ISO 22000:2018 Total Compliance</t>
        </is>
      </c>
      <c r="C12" s="44">
        <f>AVERAGE(C3:C11)</f>
        <v/>
      </c>
      <c r="D12" s="44">
        <f>AVERAGE(D3:D11)</f>
        <v/>
      </c>
      <c r="E12" s="44">
        <f>AVERAGE(E3:E11)</f>
        <v/>
      </c>
      <c r="F12" s="44">
        <f>AVERAGE(F3:F11)</f>
        <v/>
      </c>
      <c r="G12" s="43">
        <f>IF(AVERAGE(E3:E11)&gt;=0.75,"🟢 On Track","🔴 Needs Focus")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2026-04-20T13:29:27Z</dcterms:created>
  <dcterms:modified xmlns:dcterms="http://purl.org/dc/terms/" xmlns:xsi="http://www.w3.org/2001/XMLSchema-instance" xsi:type="dcterms:W3CDTF">2026-04-20T13:29:27Z</dcterms:modified>
</cp:coreProperties>
</file>