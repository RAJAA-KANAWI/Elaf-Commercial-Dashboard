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2d5a68c48c91ebd/سطح المكتب/رجاء الهوساوي/ايلاف/"/>
    </mc:Choice>
  </mc:AlternateContent>
  <xr:revisionPtr revIDLastSave="0" documentId="11_DC8D8E2AE4DFC5F05F2E8C63ACFAE012ECDE63C1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📚 KPI Glossary" sheetId="1" r:id="rId1"/>
    <sheet name="📊 Monthly Data" sheetId="2" r:id="rId2"/>
    <sheet name="🏨 Hotel Summary" sheetId="3" r:id="rId3"/>
    <sheet name="📅 Seasonal Analysis" sheetId="4" r:id="rId4"/>
    <sheet name="📈 Pareto Analysis" sheetId="5" r:id="rId5"/>
    <sheet name="🔧 Power BI Build 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K11" i="3"/>
  <c r="J11" i="3"/>
  <c r="I11" i="3"/>
  <c r="H11" i="3"/>
  <c r="G11" i="3"/>
  <c r="F11" i="3"/>
  <c r="E11" i="3"/>
  <c r="D11" i="3"/>
  <c r="K10" i="3"/>
  <c r="J10" i="3"/>
  <c r="I10" i="3"/>
  <c r="H10" i="3"/>
  <c r="G10" i="3"/>
  <c r="F10" i="3"/>
  <c r="E10" i="3"/>
  <c r="D10" i="3"/>
  <c r="K9" i="3"/>
  <c r="J9" i="3"/>
  <c r="I9" i="3"/>
  <c r="H9" i="3"/>
  <c r="G9" i="3"/>
  <c r="F9" i="3"/>
  <c r="E9" i="3"/>
  <c r="D9" i="3"/>
  <c r="K8" i="3"/>
  <c r="J8" i="3"/>
  <c r="I8" i="3"/>
  <c r="H8" i="3"/>
  <c r="G8" i="3"/>
  <c r="F8" i="3"/>
  <c r="E8" i="3"/>
  <c r="D8" i="3"/>
  <c r="K7" i="3"/>
  <c r="J7" i="3"/>
  <c r="I7" i="3"/>
  <c r="H7" i="3"/>
  <c r="G7" i="3"/>
  <c r="F7" i="3"/>
  <c r="E7" i="3"/>
  <c r="D7" i="3"/>
  <c r="K6" i="3"/>
  <c r="J6" i="3"/>
  <c r="I6" i="3"/>
  <c r="H6" i="3"/>
  <c r="G6" i="3"/>
  <c r="F6" i="3"/>
  <c r="E6" i="3"/>
  <c r="D6" i="3"/>
  <c r="K5" i="3"/>
  <c r="J5" i="3"/>
  <c r="I5" i="3"/>
  <c r="H5" i="3"/>
  <c r="G5" i="3"/>
  <c r="F5" i="3"/>
  <c r="E5" i="3"/>
  <c r="D5" i="3"/>
  <c r="K4" i="3"/>
  <c r="J4" i="3"/>
  <c r="I4" i="3"/>
  <c r="H4" i="3"/>
  <c r="G4" i="3"/>
  <c r="F4" i="3"/>
  <c r="E4" i="3"/>
  <c r="D4" i="3"/>
  <c r="K3" i="3"/>
  <c r="J3" i="3"/>
  <c r="I3" i="3"/>
  <c r="H3" i="3"/>
  <c r="G3" i="3"/>
  <c r="F3" i="3"/>
  <c r="E3" i="3"/>
  <c r="D3" i="3"/>
</calcChain>
</file>

<file path=xl/sharedStrings.xml><?xml version="1.0" encoding="utf-8"?>
<sst xmlns="http://schemas.openxmlformats.org/spreadsheetml/2006/main" count="1064" uniqueCount="167">
  <si>
    <t>Hotel Commercial KPIs — Definitions &amp; Benchmarks | مصطلحات الأداء التجاري الفندقي</t>
  </si>
  <si>
    <t>KPI</t>
  </si>
  <si>
    <t>Full Name</t>
  </si>
  <si>
    <t>Formula</t>
  </si>
  <si>
    <t>Benchmark</t>
  </si>
  <si>
    <t>Why It Matters</t>
  </si>
  <si>
    <t>ADR</t>
  </si>
  <si>
    <t>Average Daily Rate</t>
  </si>
  <si>
    <t>Total Room Revenue ÷ Rooms Sold</t>
  </si>
  <si>
    <t>SAR 400–900 (Makkah)</t>
  </si>
  <si>
    <t>Measures pricing power — higher ADR = stronger brand positioning</t>
  </si>
  <si>
    <t>Occupancy %</t>
  </si>
  <si>
    <t>Occupancy Rate</t>
  </si>
  <si>
    <t>Rooms Sold ÷ Rooms Available × 100</t>
  </si>
  <si>
    <t>65–85%</t>
  </si>
  <si>
    <t>Core demand indicator — how full the hotel is</t>
  </si>
  <si>
    <t>RevPAR</t>
  </si>
  <si>
    <t>Revenue Per Available Room</t>
  </si>
  <si>
    <t>Occupancy% × ADR  OR  Room Revenue ÷ Available Rooms</t>
  </si>
  <si>
    <t>SAR 280–720</t>
  </si>
  <si>
    <t>The #1 commercial KPI — combines price AND volume in one number</t>
  </si>
  <si>
    <t>GOPPAR</t>
  </si>
  <si>
    <t>Gross Operating Profit Per Available Room</t>
  </si>
  <si>
    <t>Gross Operating Profit ÷ Total Available Rooms</t>
  </si>
  <si>
    <t>SAR 120–350</t>
  </si>
  <si>
    <t>Measures true profitability — includes all departments not just rooms</t>
  </si>
  <si>
    <t>TRevPAR</t>
  </si>
  <si>
    <t>Total Revenue Per Available Room</t>
  </si>
  <si>
    <t>Total Revenue ÷ Available Rooms</t>
  </si>
  <si>
    <t>SAR 350–900</t>
  </si>
  <si>
    <t>Captures non-room revenue (F&amp;B, spa, events)</t>
  </si>
  <si>
    <t>NPS</t>
  </si>
  <si>
    <t>Net Promoter Score</t>
  </si>
  <si>
    <t>% Promoters (9–10) − % Detractors (0–6)</t>
  </si>
  <si>
    <t>50–70 (Good)</t>
  </si>
  <si>
    <t>Predicts future bookings — satisfied guest returns and brings others</t>
  </si>
  <si>
    <t>F&amp;B Cost %</t>
  </si>
  <si>
    <t>Food &amp; Beverage Cost Ratio</t>
  </si>
  <si>
    <t>F&amp;B Cost ÷ F&amp;B Revenue × 100</t>
  </si>
  <si>
    <t>28–32%</t>
  </si>
  <si>
    <t>Key profitability lever — every 1% saved = significant margin gain</t>
  </si>
  <si>
    <t>Labor Cost %</t>
  </si>
  <si>
    <t>Labor Cost Ratio</t>
  </si>
  <si>
    <t>Staff Cost ÷ Total Revenue × 100</t>
  </si>
  <si>
    <t>28–35%</t>
  </si>
  <si>
    <t>Largest cost driver in hotels — must balance service quality vs efficiency</t>
  </si>
  <si>
    <t>CPOR</t>
  </si>
  <si>
    <t>Cost Per Occupied Room</t>
  </si>
  <si>
    <t>Total Operating Costs ÷ Rooms Occupied</t>
  </si>
  <si>
    <t>SAR 180–350</t>
  </si>
  <si>
    <t>Operational efficiency — lower = leaner operations</t>
  </si>
  <si>
    <t>Market Penetration Index</t>
  </si>
  <si>
    <t>MPI / RGI</t>
  </si>
  <si>
    <t>Hotel Occupancy ÷ CompSet Occupancy × 100</t>
  </si>
  <si>
    <t>Above 100 = winning</t>
  </si>
  <si>
    <t>Competitive positioning — are we capturing more than our fair share?</t>
  </si>
  <si>
    <t>Channel Mix</t>
  </si>
  <si>
    <t>Direct vs OTA</t>
  </si>
  <si>
    <t>Direct Bookings ÷ Total Bookings × 100</t>
  </si>
  <si>
    <t>Direct &gt; 40%</t>
  </si>
  <si>
    <t>Direct bookings = higher margin (no OTA commission 15–25%)</t>
  </si>
  <si>
    <t>GOP Margin</t>
  </si>
  <si>
    <t>Gross Operating Profit Margin</t>
  </si>
  <si>
    <t>GOP ÷ Total Revenue × 100</t>
  </si>
  <si>
    <t>30–45%</t>
  </si>
  <si>
    <t>Bottom-line health of the hotel operation</t>
  </si>
  <si>
    <t>Elaf Group — Monthly Commercial Performance 2023–2024</t>
  </si>
  <si>
    <t>Hotel</t>
  </si>
  <si>
    <t>City</t>
  </si>
  <si>
    <t>Rooms</t>
  </si>
  <si>
    <t>Month</t>
  </si>
  <si>
    <t>Year</t>
  </si>
  <si>
    <t>Season</t>
  </si>
  <si>
    <t>Occupancy%</t>
  </si>
  <si>
    <t>ADR (SAR)</t>
  </si>
  <si>
    <t>RevPAR (SAR)</t>
  </si>
  <si>
    <t>Room Revenue</t>
  </si>
  <si>
    <t>F&amp;B Revenue</t>
  </si>
  <si>
    <t>GOP</t>
  </si>
  <si>
    <t>Total Revenue</t>
  </si>
  <si>
    <t>Room Nights</t>
  </si>
  <si>
    <t>NPS Score</t>
  </si>
  <si>
    <t>Labor Cost%</t>
  </si>
  <si>
    <t>F&amp;B Cost%</t>
  </si>
  <si>
    <t>Elaf Makkah</t>
  </si>
  <si>
    <t>Makkah</t>
  </si>
  <si>
    <t>Jan</t>
  </si>
  <si>
    <t>Regular</t>
  </si>
  <si>
    <t>Feb</t>
  </si>
  <si>
    <t>Umrah/Ramadan</t>
  </si>
  <si>
    <t>Mar</t>
  </si>
  <si>
    <t>Apr</t>
  </si>
  <si>
    <t>May</t>
  </si>
  <si>
    <t>Jun</t>
  </si>
  <si>
    <t>Hajj</t>
  </si>
  <si>
    <t>Jul</t>
  </si>
  <si>
    <t>Aug</t>
  </si>
  <si>
    <t>Sep</t>
  </si>
  <si>
    <t>Oct</t>
  </si>
  <si>
    <t>Nov</t>
  </si>
  <si>
    <t>Dec</t>
  </si>
  <si>
    <t>Elaf Ajyad</t>
  </si>
  <si>
    <t>Elaf Mashaer</t>
  </si>
  <si>
    <t>Elaf Taiba</t>
  </si>
  <si>
    <t>Elaf Kinda</t>
  </si>
  <si>
    <t>Elaf Bakkah</t>
  </si>
  <si>
    <t>Joadian Red Sea</t>
  </si>
  <si>
    <t>Jeddah</t>
  </si>
  <si>
    <t>Joadian Olaya</t>
  </si>
  <si>
    <t>Riyadh</t>
  </si>
  <si>
    <t>Elaf Al-Saqriya</t>
  </si>
  <si>
    <t>Hotel Performance Summary 2024 — All KPIs | ملخص الأداء التجاري</t>
  </si>
  <si>
    <t>Avg Occupancy</t>
  </si>
  <si>
    <t>Avg ADR</t>
  </si>
  <si>
    <t>Avg NPS</t>
  </si>
  <si>
    <t>Rating</t>
  </si>
  <si>
    <t>Seasonal Commercial Analysis — Hajj vs Umrah vs Regular | تحليل الأداء الموسمي</t>
  </si>
  <si>
    <t>Avg RevPAR</t>
  </si>
  <si>
    <t>Avg GOPPAR</t>
  </si>
  <si>
    <t>Strategic Action</t>
  </si>
  <si>
    <t>Dynamic pricing + yield management — maximize ADR, close low-rate channels</t>
  </si>
  <si>
    <t>Package deals + group bookings — bundle rooms with F&amp;B and transport</t>
  </si>
  <si>
    <t>Promotional rates + loyalty + corporate contracts — build base demand</t>
  </si>
  <si>
    <t>Pareto Analysis — Which Hotels Drive 80% of Revenue? | تحليل باريتو للإيرادات</t>
  </si>
  <si>
    <t>Rank</t>
  </si>
  <si>
    <t>2024 Revenue (SAR)</t>
  </si>
  <si>
    <t>Revenue Share %</t>
  </si>
  <si>
    <t>Cumulative %</t>
  </si>
  <si>
    <t>Pareto Zone</t>
  </si>
  <si>
    <t>Action</t>
  </si>
  <si>
    <t>🟢 Core — Top 20%</t>
  </si>
  <si>
    <t>Protect &amp; invest — these are your revenue engines</t>
  </si>
  <si>
    <t>🟡 Growth Potential</t>
  </si>
  <si>
    <t>Optimize costs &amp; grow occupancy</t>
  </si>
  <si>
    <t>Power BI Dashboard Build Guide — Step by Step | دليل بناء الداشبورد خطوة بخطوة</t>
  </si>
  <si>
    <t>Step</t>
  </si>
  <si>
    <t>Details</t>
  </si>
  <si>
    <t>1</t>
  </si>
  <si>
    <t>Import Data</t>
  </si>
  <si>
    <t>Power BI → Get Data → Excel → Select this file → Load all sheets EXCEPT this guide</t>
  </si>
  <si>
    <t>2</t>
  </si>
  <si>
    <t>Build Relationships</t>
  </si>
  <si>
    <t>📊 Monthly Data[Hotel] → 🏨 Hotel Summary[Hotel]  |  📊 Monthly Data[Season] → 📅 Seasonal[Season]</t>
  </si>
  <si>
    <t>3</t>
  </si>
  <si>
    <t>Create DAX Measures</t>
  </si>
  <si>
    <t>Avg RevPAR = AVERAGE([RevPAR (SAR)])
Avg Occupancy = AVERAGE([Occupancy%])
Total Revenue = SUM([Total Revenue])
Avg GOPPAR = AVERAGE([GOPPAR])
YoY RevPAR Growth = DIVIDE([RevPAR 2024]-[RevPAR 2023],[RevPAR 2023])</t>
  </si>
  <si>
    <t>4</t>
  </si>
  <si>
    <t>Page 1 — Executive Overview</t>
  </si>
  <si>
    <t>KPI Cards (top row): Total Revenue | Avg RevPAR | Avg Occupancy | Avg GOPPAR | Avg NPS
Bar Chart: Revenue by Hotel (sorted desc)
Line Chart: Monthly RevPAR trend
Slicer: Year</t>
  </si>
  <si>
    <t>5</t>
  </si>
  <si>
    <t>Page 2 — Commercial Deep Dive</t>
  </si>
  <si>
    <t>Clustered Bar: ADR vs RevPAR by Hotel
Column: Occupancy by Season
Scatter: ADR vs NPS (relationship)
Slicer: Hotel + Year</t>
  </si>
  <si>
    <t>6</t>
  </si>
  <si>
    <t>Page 3 — Seasonal Performance</t>
  </si>
  <si>
    <t>3 KPI cards per season (Hajj / Umrah / Regular)
Line: Monthly Occupancy all 12 months
Bar: RevPAR by Month with avg reference line
Color code: Red=Hajj, Yellow=Umrah, Blue=Regular</t>
  </si>
  <si>
    <t>7</t>
  </si>
  <si>
    <t>Page 4 — Pareto &amp; Profitability</t>
  </si>
  <si>
    <t>Bar + Line combo chart: Revenue bars + Cumulative % line
Add 80% reference line → shows which hotels are the core
GOPPAR gauge per hotel
F&amp;B Cost% vs Labor Cost% scatter</t>
  </si>
  <si>
    <t>8</t>
  </si>
  <si>
    <t>Page 5 — NPS &amp; Quality</t>
  </si>
  <si>
    <t>NPS gauge (0–100 scale)
Line: NPS trend by month
Bar: NPS by Season (Hajj NPS drops — key insight)
Scatter: NPS vs RevPAR (quality drives revenue)</t>
  </si>
  <si>
    <t>9</t>
  </si>
  <si>
    <t>Design Theme</t>
  </si>
  <si>
    <t>Primary: #1F4E79 (dark blue)
Accent: #1D6F7A (teal)
Warning: #C7A84A (gold)
Background: #F2F2F2
Font: Segoe UI or Arial</t>
  </si>
  <si>
    <t>10</t>
  </si>
  <si>
    <t>Key Insight to Present to CEO</t>
  </si>
  <si>
    <t>3 hotels generate 62% of total revenue (Pareto)
Hajj season drives 35% of annual revenue in 2 months
NPS drops 15 points during peak season → quality investment needed
GOPPAR gap between best/worst hotel = optimization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</si>
</sst>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\ &quot;SAR&quot;"/>
  </numFmts>
  <fonts count="8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sz val="9"/>
      <name val="Arial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D6F7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166" fontId="7" fillId="9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opLeftCell="A12" workbookViewId="0">
      <selection sqref="A1:E1"/>
    </sheetView>
  </sheetViews>
  <sheetFormatPr defaultRowHeight="14" x14ac:dyDescent="0.3"/>
  <cols>
    <col min="1" max="1" width="14" customWidth="1"/>
    <col min="2" max="2" width="24" customWidth="1"/>
    <col min="3" max="3" width="28" customWidth="1"/>
    <col min="4" max="4" width="20" customWidth="1"/>
    <col min="5" max="5" width="45" customWidth="1"/>
  </cols>
  <sheetData>
    <row r="1" spans="1:5" ht="32" customHeight="1" x14ac:dyDescent="0.3">
      <c r="A1" s="61" t="s">
        <v>0</v>
      </c>
      <c r="B1" s="60"/>
      <c r="C1" s="60"/>
      <c r="D1" s="60"/>
      <c r="E1" s="60"/>
    </row>
    <row r="2" spans="1:5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38" customHeight="1" x14ac:dyDescent="0.3">
      <c r="A3" s="2" t="s">
        <v>6</v>
      </c>
      <c r="B3" s="3" t="s">
        <v>7</v>
      </c>
      <c r="C3" s="3" t="s">
        <v>8</v>
      </c>
      <c r="D3" s="4" t="s">
        <v>9</v>
      </c>
      <c r="E3" s="4" t="s">
        <v>10</v>
      </c>
    </row>
    <row r="4" spans="1:5" ht="38" customHeight="1" x14ac:dyDescent="0.3">
      <c r="A4" s="5" t="s">
        <v>11</v>
      </c>
      <c r="B4" s="6" t="s">
        <v>12</v>
      </c>
      <c r="C4" s="6" t="s">
        <v>13</v>
      </c>
      <c r="D4" s="7" t="s">
        <v>14</v>
      </c>
      <c r="E4" s="7" t="s">
        <v>15</v>
      </c>
    </row>
    <row r="5" spans="1:5" ht="38" customHeight="1" x14ac:dyDescent="0.3">
      <c r="A5" s="2" t="s">
        <v>16</v>
      </c>
      <c r="B5" s="3" t="s">
        <v>17</v>
      </c>
      <c r="C5" s="3" t="s">
        <v>18</v>
      </c>
      <c r="D5" s="4" t="s">
        <v>19</v>
      </c>
      <c r="E5" s="4" t="s">
        <v>20</v>
      </c>
    </row>
    <row r="6" spans="1:5" ht="38" customHeight="1" x14ac:dyDescent="0.3">
      <c r="A6" s="5" t="s">
        <v>21</v>
      </c>
      <c r="B6" s="6" t="s">
        <v>22</v>
      </c>
      <c r="C6" s="6" t="s">
        <v>23</v>
      </c>
      <c r="D6" s="7" t="s">
        <v>24</v>
      </c>
      <c r="E6" s="7" t="s">
        <v>25</v>
      </c>
    </row>
    <row r="7" spans="1:5" ht="38" customHeight="1" x14ac:dyDescent="0.3">
      <c r="A7" s="2" t="s">
        <v>26</v>
      </c>
      <c r="B7" s="3" t="s">
        <v>27</v>
      </c>
      <c r="C7" s="3" t="s">
        <v>28</v>
      </c>
      <c r="D7" s="4" t="s">
        <v>29</v>
      </c>
      <c r="E7" s="4" t="s">
        <v>30</v>
      </c>
    </row>
    <row r="8" spans="1:5" ht="38" customHeight="1" x14ac:dyDescent="0.3">
      <c r="A8" s="5" t="s">
        <v>31</v>
      </c>
      <c r="B8" s="6" t="s">
        <v>32</v>
      </c>
      <c r="C8" s="6" t="s">
        <v>33</v>
      </c>
      <c r="D8" s="7" t="s">
        <v>34</v>
      </c>
      <c r="E8" s="7" t="s">
        <v>35</v>
      </c>
    </row>
    <row r="9" spans="1:5" ht="38" customHeight="1" x14ac:dyDescent="0.3">
      <c r="A9" s="2" t="s">
        <v>36</v>
      </c>
      <c r="B9" s="3" t="s">
        <v>37</v>
      </c>
      <c r="C9" s="3" t="s">
        <v>38</v>
      </c>
      <c r="D9" s="4" t="s">
        <v>39</v>
      </c>
      <c r="E9" s="4" t="s">
        <v>40</v>
      </c>
    </row>
    <row r="10" spans="1:5" ht="38" customHeight="1" x14ac:dyDescent="0.3">
      <c r="A10" s="5" t="s">
        <v>41</v>
      </c>
      <c r="B10" s="6" t="s">
        <v>42</v>
      </c>
      <c r="C10" s="6" t="s">
        <v>43</v>
      </c>
      <c r="D10" s="7" t="s">
        <v>44</v>
      </c>
      <c r="E10" s="7" t="s">
        <v>45</v>
      </c>
    </row>
    <row r="11" spans="1:5" ht="38" customHeight="1" x14ac:dyDescent="0.3">
      <c r="A11" s="2" t="s">
        <v>46</v>
      </c>
      <c r="B11" s="3" t="s">
        <v>47</v>
      </c>
      <c r="C11" s="3" t="s">
        <v>48</v>
      </c>
      <c r="D11" s="4" t="s">
        <v>49</v>
      </c>
      <c r="E11" s="4" t="s">
        <v>50</v>
      </c>
    </row>
    <row r="12" spans="1:5" ht="38" customHeight="1" x14ac:dyDescent="0.3">
      <c r="A12" s="5" t="s">
        <v>51</v>
      </c>
      <c r="B12" s="6" t="s">
        <v>52</v>
      </c>
      <c r="C12" s="6" t="s">
        <v>53</v>
      </c>
      <c r="D12" s="7" t="s">
        <v>54</v>
      </c>
      <c r="E12" s="7" t="s">
        <v>55</v>
      </c>
    </row>
    <row r="13" spans="1:5" ht="38" customHeight="1" x14ac:dyDescent="0.3">
      <c r="A13" s="2" t="s">
        <v>56</v>
      </c>
      <c r="B13" s="3" t="s">
        <v>57</v>
      </c>
      <c r="C13" s="3" t="s">
        <v>58</v>
      </c>
      <c r="D13" s="4" t="s">
        <v>59</v>
      </c>
      <c r="E13" s="4" t="s">
        <v>60</v>
      </c>
    </row>
    <row r="14" spans="1:5" ht="38" customHeight="1" x14ac:dyDescent="0.3">
      <c r="A14" s="5" t="s">
        <v>61</v>
      </c>
      <c r="B14" s="6" t="s">
        <v>62</v>
      </c>
      <c r="C14" s="6" t="s">
        <v>63</v>
      </c>
      <c r="D14" s="7" t="s">
        <v>64</v>
      </c>
      <c r="E14" s="7" t="s">
        <v>65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8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3"/>
  <cols>
    <col min="1" max="1" width="22" customWidth="1"/>
    <col min="2" max="2" width="10" customWidth="1"/>
    <col min="3" max="3" width="7" customWidth="1"/>
    <col min="4" max="5" width="6" customWidth="1"/>
    <col min="6" max="6" width="14" customWidth="1"/>
    <col min="7" max="9" width="11" customWidth="1"/>
    <col min="10" max="13" width="14" customWidth="1"/>
    <col min="14" max="14" width="12" customWidth="1"/>
    <col min="15" max="15" width="9" customWidth="1"/>
    <col min="16" max="16" width="11" customWidth="1"/>
    <col min="17" max="19" width="10" customWidth="1"/>
  </cols>
  <sheetData>
    <row r="1" spans="1:19" ht="32" customHeight="1" x14ac:dyDescent="0.3">
      <c r="A1" s="61" t="s">
        <v>66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9" ht="40" customHeight="1" x14ac:dyDescent="0.3">
      <c r="A2" s="8" t="s">
        <v>67</v>
      </c>
      <c r="B2" s="8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79</v>
      </c>
      <c r="N2" s="8" t="s">
        <v>80</v>
      </c>
      <c r="O2" s="8" t="s">
        <v>81</v>
      </c>
      <c r="P2" s="8" t="s">
        <v>82</v>
      </c>
      <c r="Q2" s="8" t="s">
        <v>83</v>
      </c>
      <c r="R2" s="8" t="s">
        <v>21</v>
      </c>
      <c r="S2" s="8" t="s">
        <v>26</v>
      </c>
    </row>
    <row r="3" spans="1:19" x14ac:dyDescent="0.3">
      <c r="A3" s="9" t="s">
        <v>84</v>
      </c>
      <c r="B3" s="9" t="s">
        <v>85</v>
      </c>
      <c r="C3" s="9">
        <v>500</v>
      </c>
      <c r="D3" s="9" t="s">
        <v>86</v>
      </c>
      <c r="E3" s="9">
        <v>2023</v>
      </c>
      <c r="F3" s="9" t="s">
        <v>87</v>
      </c>
      <c r="G3" s="10">
        <v>0.52200000000000002</v>
      </c>
      <c r="H3" s="11">
        <v>431</v>
      </c>
      <c r="I3" s="11">
        <v>225</v>
      </c>
      <c r="J3" s="11">
        <v>3375767</v>
      </c>
      <c r="K3" s="11">
        <v>846378</v>
      </c>
      <c r="L3" s="11">
        <v>1550842</v>
      </c>
      <c r="M3" s="11">
        <v>4222145</v>
      </c>
      <c r="N3" s="9">
        <v>7830</v>
      </c>
      <c r="O3" s="12">
        <v>70.5</v>
      </c>
      <c r="P3" s="13">
        <v>0.28799999999999998</v>
      </c>
      <c r="Q3" s="13">
        <v>0.27700000000000002</v>
      </c>
      <c r="R3" s="11">
        <v>103.4</v>
      </c>
      <c r="S3" s="11">
        <v>281.5</v>
      </c>
    </row>
    <row r="4" spans="1:19" x14ac:dyDescent="0.3">
      <c r="A4" s="14" t="s">
        <v>84</v>
      </c>
      <c r="B4" s="14" t="s">
        <v>85</v>
      </c>
      <c r="C4" s="14">
        <v>500</v>
      </c>
      <c r="D4" s="14" t="s">
        <v>88</v>
      </c>
      <c r="E4" s="14">
        <v>2023</v>
      </c>
      <c r="F4" s="14" t="s">
        <v>89</v>
      </c>
      <c r="G4" s="10">
        <v>0.53100000000000003</v>
      </c>
      <c r="H4" s="15">
        <v>436</v>
      </c>
      <c r="I4" s="15">
        <v>232</v>
      </c>
      <c r="J4" s="15">
        <v>3472998</v>
      </c>
      <c r="K4" s="15">
        <v>963645</v>
      </c>
      <c r="L4" s="15">
        <v>1427917</v>
      </c>
      <c r="M4" s="15">
        <v>4436643</v>
      </c>
      <c r="N4" s="14">
        <v>7967</v>
      </c>
      <c r="O4" s="16">
        <v>48.4</v>
      </c>
      <c r="P4" s="17">
        <v>0.32300000000000001</v>
      </c>
      <c r="Q4" s="17">
        <v>0.30299999999999999</v>
      </c>
      <c r="R4" s="15">
        <v>95.2</v>
      </c>
      <c r="S4" s="15">
        <v>295.8</v>
      </c>
    </row>
    <row r="5" spans="1:19" x14ac:dyDescent="0.3">
      <c r="A5" s="9" t="s">
        <v>84</v>
      </c>
      <c r="B5" s="9" t="s">
        <v>85</v>
      </c>
      <c r="C5" s="9">
        <v>500</v>
      </c>
      <c r="D5" s="9" t="s">
        <v>90</v>
      </c>
      <c r="E5" s="9">
        <v>2023</v>
      </c>
      <c r="F5" s="9" t="s">
        <v>89</v>
      </c>
      <c r="G5" s="13">
        <v>0.79700000000000004</v>
      </c>
      <c r="H5" s="11">
        <v>671</v>
      </c>
      <c r="I5" s="11">
        <v>534</v>
      </c>
      <c r="J5" s="11">
        <v>8014816</v>
      </c>
      <c r="K5" s="11">
        <v>1663580</v>
      </c>
      <c r="L5" s="11">
        <v>3639595</v>
      </c>
      <c r="M5" s="11">
        <v>9678397</v>
      </c>
      <c r="N5" s="9">
        <v>11950</v>
      </c>
      <c r="O5" s="12">
        <v>63.1</v>
      </c>
      <c r="P5" s="13">
        <v>0.35099999999999998</v>
      </c>
      <c r="Q5" s="13">
        <v>0.33</v>
      </c>
      <c r="R5" s="11">
        <v>242.6</v>
      </c>
      <c r="S5" s="11">
        <v>645.20000000000005</v>
      </c>
    </row>
    <row r="6" spans="1:19" x14ac:dyDescent="0.3">
      <c r="A6" s="14" t="s">
        <v>84</v>
      </c>
      <c r="B6" s="14" t="s">
        <v>85</v>
      </c>
      <c r="C6" s="14">
        <v>500</v>
      </c>
      <c r="D6" s="14" t="s">
        <v>91</v>
      </c>
      <c r="E6" s="14">
        <v>2023</v>
      </c>
      <c r="F6" s="14" t="s">
        <v>87</v>
      </c>
      <c r="G6" s="10">
        <v>0.56100000000000005</v>
      </c>
      <c r="H6" s="15">
        <v>451</v>
      </c>
      <c r="I6" s="15">
        <v>253</v>
      </c>
      <c r="J6" s="15">
        <v>3798598</v>
      </c>
      <c r="K6" s="15">
        <v>997745</v>
      </c>
      <c r="L6" s="15">
        <v>1983108</v>
      </c>
      <c r="M6" s="15">
        <v>4796343</v>
      </c>
      <c r="N6" s="14">
        <v>8417</v>
      </c>
      <c r="O6" s="16">
        <v>52.9</v>
      </c>
      <c r="P6" s="17">
        <v>0.29399999999999998</v>
      </c>
      <c r="Q6" s="17">
        <v>0.29699999999999999</v>
      </c>
      <c r="R6" s="15">
        <v>132.19999999999999</v>
      </c>
      <c r="S6" s="15">
        <v>319.8</v>
      </c>
    </row>
    <row r="7" spans="1:19" x14ac:dyDescent="0.3">
      <c r="A7" s="9" t="s">
        <v>84</v>
      </c>
      <c r="B7" s="9" t="s">
        <v>85</v>
      </c>
      <c r="C7" s="9">
        <v>500</v>
      </c>
      <c r="D7" s="9" t="s">
        <v>92</v>
      </c>
      <c r="E7" s="9">
        <v>2023</v>
      </c>
      <c r="F7" s="9" t="s">
        <v>87</v>
      </c>
      <c r="G7" s="10">
        <v>0.53600000000000003</v>
      </c>
      <c r="H7" s="11">
        <v>426</v>
      </c>
      <c r="I7" s="11">
        <v>228</v>
      </c>
      <c r="J7" s="11">
        <v>3425717</v>
      </c>
      <c r="K7" s="11">
        <v>725223</v>
      </c>
      <c r="L7" s="11">
        <v>1441318</v>
      </c>
      <c r="M7" s="11">
        <v>4150940</v>
      </c>
      <c r="N7" s="9">
        <v>8037</v>
      </c>
      <c r="O7" s="12">
        <v>61.9</v>
      </c>
      <c r="P7" s="13">
        <v>0.28299999999999997</v>
      </c>
      <c r="Q7" s="13">
        <v>0.28299999999999997</v>
      </c>
      <c r="R7" s="11">
        <v>96.1</v>
      </c>
      <c r="S7" s="11">
        <v>276.7</v>
      </c>
    </row>
    <row r="8" spans="1:19" x14ac:dyDescent="0.3">
      <c r="A8" s="14" t="s">
        <v>84</v>
      </c>
      <c r="B8" s="14" t="s">
        <v>85</v>
      </c>
      <c r="C8" s="14">
        <v>500</v>
      </c>
      <c r="D8" s="14" t="s">
        <v>93</v>
      </c>
      <c r="E8" s="14">
        <v>2023</v>
      </c>
      <c r="F8" s="14" t="s">
        <v>94</v>
      </c>
      <c r="G8" s="18">
        <v>0.97</v>
      </c>
      <c r="H8" s="15">
        <v>848</v>
      </c>
      <c r="I8" s="15">
        <v>823</v>
      </c>
      <c r="J8" s="15">
        <v>12342814</v>
      </c>
      <c r="K8" s="15">
        <v>2874524</v>
      </c>
      <c r="L8" s="15">
        <v>4736788</v>
      </c>
      <c r="M8" s="15">
        <v>15217338</v>
      </c>
      <c r="N8" s="14">
        <v>14550</v>
      </c>
      <c r="O8" s="16">
        <v>43.4</v>
      </c>
      <c r="P8" s="17">
        <v>0.32400000000000001</v>
      </c>
      <c r="Q8" s="17">
        <v>0.28699999999999998</v>
      </c>
      <c r="R8" s="15">
        <v>315.8</v>
      </c>
      <c r="S8" s="15">
        <v>1014.5</v>
      </c>
    </row>
    <row r="9" spans="1:19" x14ac:dyDescent="0.3">
      <c r="A9" s="9" t="s">
        <v>84</v>
      </c>
      <c r="B9" s="9" t="s">
        <v>85</v>
      </c>
      <c r="C9" s="9">
        <v>500</v>
      </c>
      <c r="D9" s="9" t="s">
        <v>95</v>
      </c>
      <c r="E9" s="9">
        <v>2023</v>
      </c>
      <c r="F9" s="9" t="s">
        <v>94</v>
      </c>
      <c r="G9" s="18">
        <v>0.97</v>
      </c>
      <c r="H9" s="11">
        <v>829</v>
      </c>
      <c r="I9" s="11">
        <v>804</v>
      </c>
      <c r="J9" s="11">
        <v>12065098</v>
      </c>
      <c r="K9" s="11">
        <v>3566987</v>
      </c>
      <c r="L9" s="11">
        <v>5304071</v>
      </c>
      <c r="M9" s="11">
        <v>15632085</v>
      </c>
      <c r="N9" s="9">
        <v>14550</v>
      </c>
      <c r="O9" s="12">
        <v>54.7</v>
      </c>
      <c r="P9" s="13">
        <v>0.316</v>
      </c>
      <c r="Q9" s="13">
        <v>0.28799999999999998</v>
      </c>
      <c r="R9" s="11">
        <v>353.6</v>
      </c>
      <c r="S9" s="11">
        <v>1042.0999999999999</v>
      </c>
    </row>
    <row r="10" spans="1:19" x14ac:dyDescent="0.3">
      <c r="A10" s="14" t="s">
        <v>84</v>
      </c>
      <c r="B10" s="14" t="s">
        <v>85</v>
      </c>
      <c r="C10" s="14">
        <v>500</v>
      </c>
      <c r="D10" s="14" t="s">
        <v>96</v>
      </c>
      <c r="E10" s="14">
        <v>2023</v>
      </c>
      <c r="F10" s="14" t="s">
        <v>87</v>
      </c>
      <c r="G10" s="10">
        <v>0.56899999999999995</v>
      </c>
      <c r="H10" s="15">
        <v>489</v>
      </c>
      <c r="I10" s="15">
        <v>278</v>
      </c>
      <c r="J10" s="15">
        <v>4174486</v>
      </c>
      <c r="K10" s="15">
        <v>1095763</v>
      </c>
      <c r="L10" s="15">
        <v>2036461</v>
      </c>
      <c r="M10" s="15">
        <v>5270249</v>
      </c>
      <c r="N10" s="14">
        <v>8533</v>
      </c>
      <c r="O10" s="16">
        <v>74.8</v>
      </c>
      <c r="P10" s="17">
        <v>0.35799999999999998</v>
      </c>
      <c r="Q10" s="17">
        <v>0.316</v>
      </c>
      <c r="R10" s="15">
        <v>135.80000000000001</v>
      </c>
      <c r="S10" s="15">
        <v>351.3</v>
      </c>
    </row>
    <row r="11" spans="1:19" x14ac:dyDescent="0.3">
      <c r="A11" s="9" t="s">
        <v>84</v>
      </c>
      <c r="B11" s="9" t="s">
        <v>85</v>
      </c>
      <c r="C11" s="9">
        <v>500</v>
      </c>
      <c r="D11" s="9" t="s">
        <v>97</v>
      </c>
      <c r="E11" s="9">
        <v>2023</v>
      </c>
      <c r="F11" s="9" t="s">
        <v>87</v>
      </c>
      <c r="G11" s="10">
        <v>0.57599999999999996</v>
      </c>
      <c r="H11" s="11">
        <v>483</v>
      </c>
      <c r="I11" s="11">
        <v>278</v>
      </c>
      <c r="J11" s="11">
        <v>4176720</v>
      </c>
      <c r="K11" s="11">
        <v>1151155</v>
      </c>
      <c r="L11" s="11">
        <v>1864139</v>
      </c>
      <c r="M11" s="11">
        <v>5327875</v>
      </c>
      <c r="N11" s="9">
        <v>8640</v>
      </c>
      <c r="O11" s="12">
        <v>58.5</v>
      </c>
      <c r="P11" s="13">
        <v>0.34499999999999997</v>
      </c>
      <c r="Q11" s="13">
        <v>0.307</v>
      </c>
      <c r="R11" s="11">
        <v>124.3</v>
      </c>
      <c r="S11" s="11">
        <v>355.2</v>
      </c>
    </row>
    <row r="12" spans="1:19" x14ac:dyDescent="0.3">
      <c r="A12" s="14" t="s">
        <v>84</v>
      </c>
      <c r="B12" s="14" t="s">
        <v>85</v>
      </c>
      <c r="C12" s="14">
        <v>500</v>
      </c>
      <c r="D12" s="14" t="s">
        <v>98</v>
      </c>
      <c r="E12" s="14">
        <v>2023</v>
      </c>
      <c r="F12" s="14" t="s">
        <v>87</v>
      </c>
      <c r="G12" s="17">
        <v>0.60399999999999998</v>
      </c>
      <c r="H12" s="15">
        <v>516</v>
      </c>
      <c r="I12" s="15">
        <v>311</v>
      </c>
      <c r="J12" s="15">
        <v>4670948</v>
      </c>
      <c r="K12" s="15">
        <v>1091418</v>
      </c>
      <c r="L12" s="15">
        <v>1989427</v>
      </c>
      <c r="M12" s="15">
        <v>5762366</v>
      </c>
      <c r="N12" s="14">
        <v>9054</v>
      </c>
      <c r="O12" s="16">
        <v>63</v>
      </c>
      <c r="P12" s="17">
        <v>0.32300000000000001</v>
      </c>
      <c r="Q12" s="17">
        <v>0.27100000000000002</v>
      </c>
      <c r="R12" s="15">
        <v>132.6</v>
      </c>
      <c r="S12" s="15">
        <v>384.2</v>
      </c>
    </row>
    <row r="13" spans="1:19" x14ac:dyDescent="0.3">
      <c r="A13" s="9" t="s">
        <v>84</v>
      </c>
      <c r="B13" s="9" t="s">
        <v>85</v>
      </c>
      <c r="C13" s="9">
        <v>500</v>
      </c>
      <c r="D13" s="9" t="s">
        <v>99</v>
      </c>
      <c r="E13" s="9">
        <v>2023</v>
      </c>
      <c r="F13" s="9" t="s">
        <v>87</v>
      </c>
      <c r="G13" s="10">
        <v>0.57499999999999996</v>
      </c>
      <c r="H13" s="11">
        <v>473</v>
      </c>
      <c r="I13" s="11">
        <v>272</v>
      </c>
      <c r="J13" s="11">
        <v>4079058</v>
      </c>
      <c r="K13" s="11">
        <v>1192745</v>
      </c>
      <c r="L13" s="11">
        <v>1887271</v>
      </c>
      <c r="M13" s="11">
        <v>5271802</v>
      </c>
      <c r="N13" s="9">
        <v>8626</v>
      </c>
      <c r="O13" s="12">
        <v>69.3</v>
      </c>
      <c r="P13" s="13">
        <v>0.33800000000000002</v>
      </c>
      <c r="Q13" s="13">
        <v>0.29799999999999999</v>
      </c>
      <c r="R13" s="11">
        <v>125.8</v>
      </c>
      <c r="S13" s="11">
        <v>351.5</v>
      </c>
    </row>
    <row r="14" spans="1:19" x14ac:dyDescent="0.3">
      <c r="A14" s="14" t="s">
        <v>84</v>
      </c>
      <c r="B14" s="14" t="s">
        <v>85</v>
      </c>
      <c r="C14" s="14">
        <v>500</v>
      </c>
      <c r="D14" s="14" t="s">
        <v>100</v>
      </c>
      <c r="E14" s="14">
        <v>2023</v>
      </c>
      <c r="F14" s="14" t="s">
        <v>87</v>
      </c>
      <c r="G14" s="17">
        <v>0.65400000000000003</v>
      </c>
      <c r="H14" s="15">
        <v>524</v>
      </c>
      <c r="I14" s="15">
        <v>342</v>
      </c>
      <c r="J14" s="15">
        <v>5135465</v>
      </c>
      <c r="K14" s="15">
        <v>1523192</v>
      </c>
      <c r="L14" s="15">
        <v>2750434</v>
      </c>
      <c r="M14" s="15">
        <v>6658657</v>
      </c>
      <c r="N14" s="14">
        <v>9808</v>
      </c>
      <c r="O14" s="16">
        <v>66</v>
      </c>
      <c r="P14" s="17">
        <v>0.35199999999999998</v>
      </c>
      <c r="Q14" s="17">
        <v>0.27800000000000002</v>
      </c>
      <c r="R14" s="15">
        <v>183.4</v>
      </c>
      <c r="S14" s="15">
        <v>443.9</v>
      </c>
    </row>
    <row r="15" spans="1:19" x14ac:dyDescent="0.3">
      <c r="A15" s="9" t="s">
        <v>84</v>
      </c>
      <c r="B15" s="9" t="s">
        <v>85</v>
      </c>
      <c r="C15" s="9">
        <v>500</v>
      </c>
      <c r="D15" s="9" t="s">
        <v>86</v>
      </c>
      <c r="E15" s="9">
        <v>2024</v>
      </c>
      <c r="F15" s="9" t="s">
        <v>87</v>
      </c>
      <c r="G15" s="10">
        <v>0.55700000000000005</v>
      </c>
      <c r="H15" s="11">
        <v>427</v>
      </c>
      <c r="I15" s="11">
        <v>238</v>
      </c>
      <c r="J15" s="11">
        <v>3564711</v>
      </c>
      <c r="K15" s="11">
        <v>889082</v>
      </c>
      <c r="L15" s="11">
        <v>1828135</v>
      </c>
      <c r="M15" s="11">
        <v>4453793</v>
      </c>
      <c r="N15" s="9">
        <v>8348</v>
      </c>
      <c r="O15" s="12">
        <v>48.3</v>
      </c>
      <c r="P15" s="13">
        <v>0.32200000000000001</v>
      </c>
      <c r="Q15" s="13">
        <v>0.28599999999999998</v>
      </c>
      <c r="R15" s="11">
        <v>121.9</v>
      </c>
      <c r="S15" s="11">
        <v>296.89999999999998</v>
      </c>
    </row>
    <row r="16" spans="1:19" x14ac:dyDescent="0.3">
      <c r="A16" s="14" t="s">
        <v>84</v>
      </c>
      <c r="B16" s="14" t="s">
        <v>85</v>
      </c>
      <c r="C16" s="14">
        <v>500</v>
      </c>
      <c r="D16" s="14" t="s">
        <v>88</v>
      </c>
      <c r="E16" s="14">
        <v>2024</v>
      </c>
      <c r="F16" s="14" t="s">
        <v>89</v>
      </c>
      <c r="G16" s="17">
        <v>0.60199999999999998</v>
      </c>
      <c r="H16" s="15">
        <v>491</v>
      </c>
      <c r="I16" s="15">
        <v>296</v>
      </c>
      <c r="J16" s="15">
        <v>4435035</v>
      </c>
      <c r="K16" s="15">
        <v>1216452</v>
      </c>
      <c r="L16" s="15">
        <v>2223550</v>
      </c>
      <c r="M16" s="15">
        <v>5651486</v>
      </c>
      <c r="N16" s="14">
        <v>9031</v>
      </c>
      <c r="O16" s="16">
        <v>67.8</v>
      </c>
      <c r="P16" s="17">
        <v>0.29399999999999998</v>
      </c>
      <c r="Q16" s="17">
        <v>0.32900000000000001</v>
      </c>
      <c r="R16" s="15">
        <v>148.19999999999999</v>
      </c>
      <c r="S16" s="15">
        <v>376.8</v>
      </c>
    </row>
    <row r="17" spans="1:19" x14ac:dyDescent="0.3">
      <c r="A17" s="9" t="s">
        <v>84</v>
      </c>
      <c r="B17" s="9" t="s">
        <v>85</v>
      </c>
      <c r="C17" s="9">
        <v>500</v>
      </c>
      <c r="D17" s="9" t="s">
        <v>90</v>
      </c>
      <c r="E17" s="9">
        <v>2024</v>
      </c>
      <c r="F17" s="9" t="s">
        <v>89</v>
      </c>
      <c r="G17" s="18">
        <v>0.92900000000000005</v>
      </c>
      <c r="H17" s="11">
        <v>759</v>
      </c>
      <c r="I17" s="11">
        <v>705</v>
      </c>
      <c r="J17" s="11">
        <v>10581663</v>
      </c>
      <c r="K17" s="11">
        <v>2891984</v>
      </c>
      <c r="L17" s="11">
        <v>4581583</v>
      </c>
      <c r="M17" s="11">
        <v>13473648</v>
      </c>
      <c r="N17" s="9">
        <v>13940</v>
      </c>
      <c r="O17" s="12">
        <v>62.2</v>
      </c>
      <c r="P17" s="13">
        <v>0.33300000000000002</v>
      </c>
      <c r="Q17" s="13">
        <v>0.311</v>
      </c>
      <c r="R17" s="11">
        <v>305.39999999999998</v>
      </c>
      <c r="S17" s="11">
        <v>898.2</v>
      </c>
    </row>
    <row r="18" spans="1:19" x14ac:dyDescent="0.3">
      <c r="A18" s="14" t="s">
        <v>84</v>
      </c>
      <c r="B18" s="14" t="s">
        <v>85</v>
      </c>
      <c r="C18" s="14">
        <v>500</v>
      </c>
      <c r="D18" s="14" t="s">
        <v>91</v>
      </c>
      <c r="E18" s="14">
        <v>2024</v>
      </c>
      <c r="F18" s="14" t="s">
        <v>87</v>
      </c>
      <c r="G18" s="17">
        <v>0.61299999999999999</v>
      </c>
      <c r="H18" s="15">
        <v>512</v>
      </c>
      <c r="I18" s="15">
        <v>314</v>
      </c>
      <c r="J18" s="15">
        <v>4708864</v>
      </c>
      <c r="K18" s="15">
        <v>1241988</v>
      </c>
      <c r="L18" s="15">
        <v>1883881</v>
      </c>
      <c r="M18" s="15">
        <v>5950852</v>
      </c>
      <c r="N18" s="14">
        <v>9200</v>
      </c>
      <c r="O18" s="16">
        <v>64.2</v>
      </c>
      <c r="P18" s="17">
        <v>0.28399999999999997</v>
      </c>
      <c r="Q18" s="17">
        <v>0.3</v>
      </c>
      <c r="R18" s="15">
        <v>125.6</v>
      </c>
      <c r="S18" s="15">
        <v>396.7</v>
      </c>
    </row>
    <row r="19" spans="1:19" x14ac:dyDescent="0.3">
      <c r="A19" s="9" t="s">
        <v>84</v>
      </c>
      <c r="B19" s="9" t="s">
        <v>85</v>
      </c>
      <c r="C19" s="9">
        <v>500</v>
      </c>
      <c r="D19" s="9" t="s">
        <v>92</v>
      </c>
      <c r="E19" s="9">
        <v>2024</v>
      </c>
      <c r="F19" s="9" t="s">
        <v>87</v>
      </c>
      <c r="G19" s="13">
        <v>0.60099999999999998</v>
      </c>
      <c r="H19" s="11">
        <v>505</v>
      </c>
      <c r="I19" s="11">
        <v>303</v>
      </c>
      <c r="J19" s="11">
        <v>4551742</v>
      </c>
      <c r="K19" s="11">
        <v>1220203</v>
      </c>
      <c r="L19" s="11">
        <v>2056657</v>
      </c>
      <c r="M19" s="11">
        <v>5771945</v>
      </c>
      <c r="N19" s="9">
        <v>9010</v>
      </c>
      <c r="O19" s="12">
        <v>69.400000000000006</v>
      </c>
      <c r="P19" s="13">
        <v>0.32400000000000001</v>
      </c>
      <c r="Q19" s="13">
        <v>0.28000000000000003</v>
      </c>
      <c r="R19" s="11">
        <v>137.1</v>
      </c>
      <c r="S19" s="11">
        <v>384.8</v>
      </c>
    </row>
    <row r="20" spans="1:19" x14ac:dyDescent="0.3">
      <c r="A20" s="14" t="s">
        <v>84</v>
      </c>
      <c r="B20" s="14" t="s">
        <v>85</v>
      </c>
      <c r="C20" s="14">
        <v>500</v>
      </c>
      <c r="D20" s="14" t="s">
        <v>93</v>
      </c>
      <c r="E20" s="14">
        <v>2024</v>
      </c>
      <c r="F20" s="14" t="s">
        <v>94</v>
      </c>
      <c r="G20" s="18">
        <v>0.97</v>
      </c>
      <c r="H20" s="15">
        <v>951</v>
      </c>
      <c r="I20" s="15">
        <v>923</v>
      </c>
      <c r="J20" s="15">
        <v>13839151</v>
      </c>
      <c r="K20" s="15">
        <v>3211050</v>
      </c>
      <c r="L20" s="15">
        <v>5727329</v>
      </c>
      <c r="M20" s="15">
        <v>17050202</v>
      </c>
      <c r="N20" s="14">
        <v>14550</v>
      </c>
      <c r="O20" s="16">
        <v>45.1</v>
      </c>
      <c r="P20" s="17">
        <v>0.34</v>
      </c>
      <c r="Q20" s="17">
        <v>0.28000000000000003</v>
      </c>
      <c r="R20" s="15">
        <v>381.8</v>
      </c>
      <c r="S20" s="15">
        <v>1136.7</v>
      </c>
    </row>
    <row r="21" spans="1:19" x14ac:dyDescent="0.3">
      <c r="A21" s="9" t="s">
        <v>84</v>
      </c>
      <c r="B21" s="9" t="s">
        <v>85</v>
      </c>
      <c r="C21" s="9">
        <v>500</v>
      </c>
      <c r="D21" s="9" t="s">
        <v>95</v>
      </c>
      <c r="E21" s="9">
        <v>2024</v>
      </c>
      <c r="F21" s="9" t="s">
        <v>94</v>
      </c>
      <c r="G21" s="18">
        <v>0.97</v>
      </c>
      <c r="H21" s="11">
        <v>899</v>
      </c>
      <c r="I21" s="11">
        <v>872</v>
      </c>
      <c r="J21" s="11">
        <v>13080599</v>
      </c>
      <c r="K21" s="11">
        <v>3860608</v>
      </c>
      <c r="L21" s="11">
        <v>6906969</v>
      </c>
      <c r="M21" s="11">
        <v>16941207</v>
      </c>
      <c r="N21" s="9">
        <v>14550</v>
      </c>
      <c r="O21" s="12">
        <v>57.4</v>
      </c>
      <c r="P21" s="13">
        <v>0.36</v>
      </c>
      <c r="Q21" s="13">
        <v>0.30599999999999999</v>
      </c>
      <c r="R21" s="11">
        <v>460.5</v>
      </c>
      <c r="S21" s="11">
        <v>1129.4000000000001</v>
      </c>
    </row>
    <row r="22" spans="1:19" x14ac:dyDescent="0.3">
      <c r="A22" s="14" t="s">
        <v>84</v>
      </c>
      <c r="B22" s="14" t="s">
        <v>85</v>
      </c>
      <c r="C22" s="14">
        <v>500</v>
      </c>
      <c r="D22" s="14" t="s">
        <v>96</v>
      </c>
      <c r="E22" s="14">
        <v>2024</v>
      </c>
      <c r="F22" s="14" t="s">
        <v>87</v>
      </c>
      <c r="G22" s="17">
        <v>0.65700000000000003</v>
      </c>
      <c r="H22" s="15">
        <v>496</v>
      </c>
      <c r="I22" s="15">
        <v>326</v>
      </c>
      <c r="J22" s="15">
        <v>4882774</v>
      </c>
      <c r="K22" s="15">
        <v>1345399</v>
      </c>
      <c r="L22" s="15">
        <v>2433053</v>
      </c>
      <c r="M22" s="15">
        <v>6228173</v>
      </c>
      <c r="N22" s="14">
        <v>9851</v>
      </c>
      <c r="O22" s="16">
        <v>62.9</v>
      </c>
      <c r="P22" s="17">
        <v>0.31900000000000001</v>
      </c>
      <c r="Q22" s="17">
        <v>0.32500000000000001</v>
      </c>
      <c r="R22" s="15">
        <v>162.19999999999999</v>
      </c>
      <c r="S22" s="15">
        <v>415.2</v>
      </c>
    </row>
    <row r="23" spans="1:19" x14ac:dyDescent="0.3">
      <c r="A23" s="9" t="s">
        <v>84</v>
      </c>
      <c r="B23" s="9" t="s">
        <v>85</v>
      </c>
      <c r="C23" s="9">
        <v>500</v>
      </c>
      <c r="D23" s="9" t="s">
        <v>97</v>
      </c>
      <c r="E23" s="9">
        <v>2024</v>
      </c>
      <c r="F23" s="9" t="s">
        <v>87</v>
      </c>
      <c r="G23" s="13">
        <v>0.67700000000000005</v>
      </c>
      <c r="H23" s="11">
        <v>520</v>
      </c>
      <c r="I23" s="11">
        <v>352</v>
      </c>
      <c r="J23" s="11">
        <v>5274780</v>
      </c>
      <c r="K23" s="11">
        <v>1545193</v>
      </c>
      <c r="L23" s="11">
        <v>2792207</v>
      </c>
      <c r="M23" s="11">
        <v>6819974</v>
      </c>
      <c r="N23" s="9">
        <v>10150</v>
      </c>
      <c r="O23" s="12">
        <v>62</v>
      </c>
      <c r="P23" s="13">
        <v>0.29099999999999998</v>
      </c>
      <c r="Q23" s="13">
        <v>0.27100000000000002</v>
      </c>
      <c r="R23" s="11">
        <v>186.1</v>
      </c>
      <c r="S23" s="11">
        <v>454.7</v>
      </c>
    </row>
    <row r="24" spans="1:19" x14ac:dyDescent="0.3">
      <c r="A24" s="14" t="s">
        <v>84</v>
      </c>
      <c r="B24" s="14" t="s">
        <v>85</v>
      </c>
      <c r="C24" s="14">
        <v>500</v>
      </c>
      <c r="D24" s="14" t="s">
        <v>98</v>
      </c>
      <c r="E24" s="14">
        <v>2024</v>
      </c>
      <c r="F24" s="14" t="s">
        <v>87</v>
      </c>
      <c r="G24" s="17">
        <v>0.67400000000000004</v>
      </c>
      <c r="H24" s="15">
        <v>567</v>
      </c>
      <c r="I24" s="15">
        <v>382</v>
      </c>
      <c r="J24" s="15">
        <v>5730302</v>
      </c>
      <c r="K24" s="15">
        <v>1571004</v>
      </c>
      <c r="L24" s="15">
        <v>2522276</v>
      </c>
      <c r="M24" s="15">
        <v>7301306</v>
      </c>
      <c r="N24" s="14">
        <v>10106</v>
      </c>
      <c r="O24" s="16">
        <v>55</v>
      </c>
      <c r="P24" s="17">
        <v>0.34899999999999998</v>
      </c>
      <c r="Q24" s="17">
        <v>0.32300000000000001</v>
      </c>
      <c r="R24" s="15">
        <v>168.2</v>
      </c>
      <c r="S24" s="15">
        <v>486.8</v>
      </c>
    </row>
    <row r="25" spans="1:19" x14ac:dyDescent="0.3">
      <c r="A25" s="9" t="s">
        <v>84</v>
      </c>
      <c r="B25" s="9" t="s">
        <v>85</v>
      </c>
      <c r="C25" s="9">
        <v>500</v>
      </c>
      <c r="D25" s="9" t="s">
        <v>99</v>
      </c>
      <c r="E25" s="9">
        <v>2024</v>
      </c>
      <c r="F25" s="9" t="s">
        <v>87</v>
      </c>
      <c r="G25" s="13">
        <v>0.64400000000000002</v>
      </c>
      <c r="H25" s="11">
        <v>532</v>
      </c>
      <c r="I25" s="11">
        <v>343</v>
      </c>
      <c r="J25" s="11">
        <v>5140733</v>
      </c>
      <c r="K25" s="11">
        <v>1112396</v>
      </c>
      <c r="L25" s="11">
        <v>2581491</v>
      </c>
      <c r="M25" s="11">
        <v>6253129</v>
      </c>
      <c r="N25" s="9">
        <v>9665</v>
      </c>
      <c r="O25" s="12">
        <v>53.4</v>
      </c>
      <c r="P25" s="13">
        <v>0.35</v>
      </c>
      <c r="Q25" s="13">
        <v>0.27900000000000003</v>
      </c>
      <c r="R25" s="11">
        <v>172.1</v>
      </c>
      <c r="S25" s="11">
        <v>416.9</v>
      </c>
    </row>
    <row r="26" spans="1:19" x14ac:dyDescent="0.3">
      <c r="A26" s="14" t="s">
        <v>84</v>
      </c>
      <c r="B26" s="14" t="s">
        <v>85</v>
      </c>
      <c r="C26" s="14">
        <v>500</v>
      </c>
      <c r="D26" s="14" t="s">
        <v>100</v>
      </c>
      <c r="E26" s="14">
        <v>2024</v>
      </c>
      <c r="F26" s="14" t="s">
        <v>87</v>
      </c>
      <c r="G26" s="17">
        <v>0.70299999999999996</v>
      </c>
      <c r="H26" s="15">
        <v>529</v>
      </c>
      <c r="I26" s="15">
        <v>372</v>
      </c>
      <c r="J26" s="15">
        <v>5574202</v>
      </c>
      <c r="K26" s="15">
        <v>1657531</v>
      </c>
      <c r="L26" s="15">
        <v>2548791</v>
      </c>
      <c r="M26" s="15">
        <v>7231733</v>
      </c>
      <c r="N26" s="14">
        <v>10544</v>
      </c>
      <c r="O26" s="16">
        <v>65.099999999999994</v>
      </c>
      <c r="P26" s="17">
        <v>0.34799999999999998</v>
      </c>
      <c r="Q26" s="17">
        <v>0.31900000000000001</v>
      </c>
      <c r="R26" s="15">
        <v>169.9</v>
      </c>
      <c r="S26" s="15">
        <v>482.1</v>
      </c>
    </row>
    <row r="27" spans="1:19" x14ac:dyDescent="0.3">
      <c r="A27" s="9" t="s">
        <v>101</v>
      </c>
      <c r="B27" s="9" t="s">
        <v>85</v>
      </c>
      <c r="C27" s="9">
        <v>320</v>
      </c>
      <c r="D27" s="9" t="s">
        <v>86</v>
      </c>
      <c r="E27" s="9">
        <v>2023</v>
      </c>
      <c r="F27" s="9" t="s">
        <v>87</v>
      </c>
      <c r="G27" s="10">
        <v>0.56799999999999995</v>
      </c>
      <c r="H27" s="11">
        <v>535</v>
      </c>
      <c r="I27" s="11">
        <v>304</v>
      </c>
      <c r="J27" s="11">
        <v>2920481</v>
      </c>
      <c r="K27" s="11">
        <v>755359</v>
      </c>
      <c r="L27" s="11">
        <v>1326085</v>
      </c>
      <c r="M27" s="11">
        <v>3675839</v>
      </c>
      <c r="N27" s="9">
        <v>5455</v>
      </c>
      <c r="O27" s="12">
        <v>70</v>
      </c>
      <c r="P27" s="13">
        <v>0.32</v>
      </c>
      <c r="Q27" s="13">
        <v>0.29799999999999999</v>
      </c>
      <c r="R27" s="11">
        <v>138.1</v>
      </c>
      <c r="S27" s="11">
        <v>382.9</v>
      </c>
    </row>
    <row r="28" spans="1:19" x14ac:dyDescent="0.3">
      <c r="A28" s="14" t="s">
        <v>101</v>
      </c>
      <c r="B28" s="14" t="s">
        <v>85</v>
      </c>
      <c r="C28" s="14">
        <v>320</v>
      </c>
      <c r="D28" s="14" t="s">
        <v>88</v>
      </c>
      <c r="E28" s="14">
        <v>2023</v>
      </c>
      <c r="F28" s="14" t="s">
        <v>89</v>
      </c>
      <c r="G28" s="10">
        <v>0.55800000000000005</v>
      </c>
      <c r="H28" s="15">
        <v>589</v>
      </c>
      <c r="I28" s="15">
        <v>329</v>
      </c>
      <c r="J28" s="15">
        <v>3155061</v>
      </c>
      <c r="K28" s="15">
        <v>923905</v>
      </c>
      <c r="L28" s="15">
        <v>1540210</v>
      </c>
      <c r="M28" s="15">
        <v>4078965</v>
      </c>
      <c r="N28" s="14">
        <v>5355</v>
      </c>
      <c r="O28" s="16">
        <v>56</v>
      </c>
      <c r="P28" s="17">
        <v>0.33200000000000002</v>
      </c>
      <c r="Q28" s="17">
        <v>0.29199999999999998</v>
      </c>
      <c r="R28" s="15">
        <v>160.4</v>
      </c>
      <c r="S28" s="15">
        <v>424.9</v>
      </c>
    </row>
    <row r="29" spans="1:19" x14ac:dyDescent="0.3">
      <c r="A29" s="9" t="s">
        <v>101</v>
      </c>
      <c r="B29" s="9" t="s">
        <v>85</v>
      </c>
      <c r="C29" s="9">
        <v>320</v>
      </c>
      <c r="D29" s="9" t="s">
        <v>90</v>
      </c>
      <c r="E29" s="9">
        <v>2023</v>
      </c>
      <c r="F29" s="9" t="s">
        <v>89</v>
      </c>
      <c r="G29" s="18">
        <v>0.93600000000000005</v>
      </c>
      <c r="H29" s="11">
        <v>875</v>
      </c>
      <c r="I29" s="11">
        <v>819</v>
      </c>
      <c r="J29" s="11">
        <v>7858095</v>
      </c>
      <c r="K29" s="11">
        <v>1888038</v>
      </c>
      <c r="L29" s="11">
        <v>4086579</v>
      </c>
      <c r="M29" s="11">
        <v>9746133</v>
      </c>
      <c r="N29" s="9">
        <v>8985</v>
      </c>
      <c r="O29" s="12">
        <v>52.9</v>
      </c>
      <c r="P29" s="13">
        <v>0.30299999999999999</v>
      </c>
      <c r="Q29" s="13">
        <v>0.315</v>
      </c>
      <c r="R29" s="11">
        <v>425.7</v>
      </c>
      <c r="S29" s="11">
        <v>1015.2</v>
      </c>
    </row>
    <row r="30" spans="1:19" x14ac:dyDescent="0.3">
      <c r="A30" s="14" t="s">
        <v>101</v>
      </c>
      <c r="B30" s="14" t="s">
        <v>85</v>
      </c>
      <c r="C30" s="14">
        <v>320</v>
      </c>
      <c r="D30" s="14" t="s">
        <v>91</v>
      </c>
      <c r="E30" s="14">
        <v>2023</v>
      </c>
      <c r="F30" s="14" t="s">
        <v>87</v>
      </c>
      <c r="G30" s="10">
        <v>0.56499999999999995</v>
      </c>
      <c r="H30" s="15">
        <v>608</v>
      </c>
      <c r="I30" s="15">
        <v>343</v>
      </c>
      <c r="J30" s="15">
        <v>3297359</v>
      </c>
      <c r="K30" s="15">
        <v>698509</v>
      </c>
      <c r="L30" s="15">
        <v>1671045</v>
      </c>
      <c r="M30" s="15">
        <v>3995868</v>
      </c>
      <c r="N30" s="14">
        <v>5420</v>
      </c>
      <c r="O30" s="16">
        <v>49.7</v>
      </c>
      <c r="P30" s="17">
        <v>0.30299999999999999</v>
      </c>
      <c r="Q30" s="17">
        <v>0.28999999999999998</v>
      </c>
      <c r="R30" s="15">
        <v>174.1</v>
      </c>
      <c r="S30" s="15">
        <v>416.2</v>
      </c>
    </row>
    <row r="31" spans="1:19" x14ac:dyDescent="0.3">
      <c r="A31" s="9" t="s">
        <v>101</v>
      </c>
      <c r="B31" s="9" t="s">
        <v>85</v>
      </c>
      <c r="C31" s="9">
        <v>320</v>
      </c>
      <c r="D31" s="9" t="s">
        <v>92</v>
      </c>
      <c r="E31" s="9">
        <v>2023</v>
      </c>
      <c r="F31" s="9" t="s">
        <v>87</v>
      </c>
      <c r="G31" s="10">
        <v>0.55600000000000005</v>
      </c>
      <c r="H31" s="11">
        <v>595</v>
      </c>
      <c r="I31" s="11">
        <v>331</v>
      </c>
      <c r="J31" s="11">
        <v>3172565</v>
      </c>
      <c r="K31" s="11">
        <v>684340</v>
      </c>
      <c r="L31" s="11">
        <v>1335243</v>
      </c>
      <c r="M31" s="11">
        <v>3856904</v>
      </c>
      <c r="N31" s="9">
        <v>5333</v>
      </c>
      <c r="O31" s="12">
        <v>48.7</v>
      </c>
      <c r="P31" s="13">
        <v>0.32600000000000001</v>
      </c>
      <c r="Q31" s="13">
        <v>0.28399999999999997</v>
      </c>
      <c r="R31" s="11">
        <v>139.1</v>
      </c>
      <c r="S31" s="11">
        <v>401.8</v>
      </c>
    </row>
    <row r="32" spans="1:19" x14ac:dyDescent="0.3">
      <c r="A32" s="14" t="s">
        <v>101</v>
      </c>
      <c r="B32" s="14" t="s">
        <v>85</v>
      </c>
      <c r="C32" s="14">
        <v>320</v>
      </c>
      <c r="D32" s="14" t="s">
        <v>93</v>
      </c>
      <c r="E32" s="14">
        <v>2023</v>
      </c>
      <c r="F32" s="14" t="s">
        <v>94</v>
      </c>
      <c r="G32" s="18">
        <v>0.97</v>
      </c>
      <c r="H32" s="15">
        <v>1116</v>
      </c>
      <c r="I32" s="15">
        <v>1083</v>
      </c>
      <c r="J32" s="15">
        <v>10392233</v>
      </c>
      <c r="K32" s="15">
        <v>2503132</v>
      </c>
      <c r="L32" s="15">
        <v>3968364</v>
      </c>
      <c r="M32" s="15">
        <v>12895364</v>
      </c>
      <c r="N32" s="14">
        <v>9312</v>
      </c>
      <c r="O32" s="16">
        <v>59.8</v>
      </c>
      <c r="P32" s="17">
        <v>0.29899999999999999</v>
      </c>
      <c r="Q32" s="17">
        <v>0.28999999999999998</v>
      </c>
      <c r="R32" s="15">
        <v>413.4</v>
      </c>
      <c r="S32" s="15">
        <v>1343.3</v>
      </c>
    </row>
    <row r="33" spans="1:19" x14ac:dyDescent="0.3">
      <c r="A33" s="9" t="s">
        <v>101</v>
      </c>
      <c r="B33" s="9" t="s">
        <v>85</v>
      </c>
      <c r="C33" s="9">
        <v>320</v>
      </c>
      <c r="D33" s="9" t="s">
        <v>95</v>
      </c>
      <c r="E33" s="9">
        <v>2023</v>
      </c>
      <c r="F33" s="9" t="s">
        <v>94</v>
      </c>
      <c r="G33" s="18">
        <v>0.97</v>
      </c>
      <c r="H33" s="11">
        <v>1108</v>
      </c>
      <c r="I33" s="11">
        <v>1075</v>
      </c>
      <c r="J33" s="11">
        <v>10317882</v>
      </c>
      <c r="K33" s="11">
        <v>2725107</v>
      </c>
      <c r="L33" s="11">
        <v>4187429</v>
      </c>
      <c r="M33" s="11">
        <v>13042989</v>
      </c>
      <c r="N33" s="9">
        <v>9312</v>
      </c>
      <c r="O33" s="12">
        <v>45.9</v>
      </c>
      <c r="P33" s="13">
        <v>0.34899999999999998</v>
      </c>
      <c r="Q33" s="13">
        <v>0.318</v>
      </c>
      <c r="R33" s="11">
        <v>436.2</v>
      </c>
      <c r="S33" s="11">
        <v>1358.6</v>
      </c>
    </row>
    <row r="34" spans="1:19" x14ac:dyDescent="0.3">
      <c r="A34" s="14" t="s">
        <v>101</v>
      </c>
      <c r="B34" s="14" t="s">
        <v>85</v>
      </c>
      <c r="C34" s="14">
        <v>320</v>
      </c>
      <c r="D34" s="14" t="s">
        <v>96</v>
      </c>
      <c r="E34" s="14">
        <v>2023</v>
      </c>
      <c r="F34" s="14" t="s">
        <v>87</v>
      </c>
      <c r="G34" s="10">
        <v>0.58499999999999996</v>
      </c>
      <c r="H34" s="15">
        <v>627</v>
      </c>
      <c r="I34" s="15">
        <v>366</v>
      </c>
      <c r="J34" s="15">
        <v>3516574</v>
      </c>
      <c r="K34" s="15">
        <v>809878</v>
      </c>
      <c r="L34" s="15">
        <v>1697042</v>
      </c>
      <c r="M34" s="15">
        <v>4326453</v>
      </c>
      <c r="N34" s="14">
        <v>5613</v>
      </c>
      <c r="O34" s="16">
        <v>58.2</v>
      </c>
      <c r="P34" s="17">
        <v>0.30599999999999999</v>
      </c>
      <c r="Q34" s="17">
        <v>0.32300000000000001</v>
      </c>
      <c r="R34" s="15">
        <v>176.8</v>
      </c>
      <c r="S34" s="15">
        <v>450.7</v>
      </c>
    </row>
    <row r="35" spans="1:19" x14ac:dyDescent="0.3">
      <c r="A35" s="9" t="s">
        <v>101</v>
      </c>
      <c r="B35" s="9" t="s">
        <v>85</v>
      </c>
      <c r="C35" s="9">
        <v>320</v>
      </c>
      <c r="D35" s="9" t="s">
        <v>97</v>
      </c>
      <c r="E35" s="9">
        <v>2023</v>
      </c>
      <c r="F35" s="9" t="s">
        <v>87</v>
      </c>
      <c r="G35" s="13">
        <v>0.63100000000000001</v>
      </c>
      <c r="H35" s="11">
        <v>635</v>
      </c>
      <c r="I35" s="11">
        <v>400</v>
      </c>
      <c r="J35" s="11">
        <v>3844011</v>
      </c>
      <c r="K35" s="11">
        <v>925889</v>
      </c>
      <c r="L35" s="11">
        <v>1942417</v>
      </c>
      <c r="M35" s="11">
        <v>4769901</v>
      </c>
      <c r="N35" s="9">
        <v>6052</v>
      </c>
      <c r="O35" s="12">
        <v>68.8</v>
      </c>
      <c r="P35" s="13">
        <v>0.35599999999999998</v>
      </c>
      <c r="Q35" s="13">
        <v>0.29799999999999999</v>
      </c>
      <c r="R35" s="11">
        <v>202.3</v>
      </c>
      <c r="S35" s="11">
        <v>496.9</v>
      </c>
    </row>
    <row r="36" spans="1:19" x14ac:dyDescent="0.3">
      <c r="A36" s="14" t="s">
        <v>101</v>
      </c>
      <c r="B36" s="14" t="s">
        <v>85</v>
      </c>
      <c r="C36" s="14">
        <v>320</v>
      </c>
      <c r="D36" s="14" t="s">
        <v>98</v>
      </c>
      <c r="E36" s="14">
        <v>2023</v>
      </c>
      <c r="F36" s="14" t="s">
        <v>87</v>
      </c>
      <c r="G36" s="17">
        <v>0.67600000000000005</v>
      </c>
      <c r="H36" s="15">
        <v>669</v>
      </c>
      <c r="I36" s="15">
        <v>452</v>
      </c>
      <c r="J36" s="15">
        <v>4341212</v>
      </c>
      <c r="K36" s="15">
        <v>1116367</v>
      </c>
      <c r="L36" s="15">
        <v>2144407</v>
      </c>
      <c r="M36" s="15">
        <v>5457580</v>
      </c>
      <c r="N36" s="14">
        <v>6485</v>
      </c>
      <c r="O36" s="16">
        <v>67</v>
      </c>
      <c r="P36" s="17">
        <v>0.34799999999999998</v>
      </c>
      <c r="Q36" s="17">
        <v>0.32800000000000001</v>
      </c>
      <c r="R36" s="15">
        <v>223.4</v>
      </c>
      <c r="S36" s="15">
        <v>568.5</v>
      </c>
    </row>
    <row r="37" spans="1:19" x14ac:dyDescent="0.3">
      <c r="A37" s="9" t="s">
        <v>101</v>
      </c>
      <c r="B37" s="9" t="s">
        <v>85</v>
      </c>
      <c r="C37" s="9">
        <v>320</v>
      </c>
      <c r="D37" s="9" t="s">
        <v>99</v>
      </c>
      <c r="E37" s="9">
        <v>2023</v>
      </c>
      <c r="F37" s="9" t="s">
        <v>87</v>
      </c>
      <c r="G37" s="13">
        <v>0.66700000000000004</v>
      </c>
      <c r="H37" s="11">
        <v>613</v>
      </c>
      <c r="I37" s="11">
        <v>408</v>
      </c>
      <c r="J37" s="11">
        <v>3920740</v>
      </c>
      <c r="K37" s="11">
        <v>1097681</v>
      </c>
      <c r="L37" s="11">
        <v>2023365</v>
      </c>
      <c r="M37" s="11">
        <v>5018421</v>
      </c>
      <c r="N37" s="9">
        <v>6400</v>
      </c>
      <c r="O37" s="12">
        <v>69.7</v>
      </c>
      <c r="P37" s="13">
        <v>0.32100000000000001</v>
      </c>
      <c r="Q37" s="13">
        <v>0.30399999999999999</v>
      </c>
      <c r="R37" s="11">
        <v>210.8</v>
      </c>
      <c r="S37" s="11">
        <v>522.79999999999995</v>
      </c>
    </row>
    <row r="38" spans="1:19" x14ac:dyDescent="0.3">
      <c r="A38" s="14" t="s">
        <v>101</v>
      </c>
      <c r="B38" s="14" t="s">
        <v>85</v>
      </c>
      <c r="C38" s="14">
        <v>320</v>
      </c>
      <c r="D38" s="14" t="s">
        <v>100</v>
      </c>
      <c r="E38" s="14">
        <v>2023</v>
      </c>
      <c r="F38" s="14" t="s">
        <v>87</v>
      </c>
      <c r="G38" s="17">
        <v>0.64700000000000002</v>
      </c>
      <c r="H38" s="15">
        <v>663</v>
      </c>
      <c r="I38" s="15">
        <v>429</v>
      </c>
      <c r="J38" s="15">
        <v>4117494</v>
      </c>
      <c r="K38" s="15">
        <v>1098912</v>
      </c>
      <c r="L38" s="15">
        <v>1752994</v>
      </c>
      <c r="M38" s="15">
        <v>5216405</v>
      </c>
      <c r="N38" s="14">
        <v>6209</v>
      </c>
      <c r="O38" s="16">
        <v>60.1</v>
      </c>
      <c r="P38" s="17">
        <v>0.32400000000000001</v>
      </c>
      <c r="Q38" s="17">
        <v>0.27500000000000002</v>
      </c>
      <c r="R38" s="15">
        <v>182.6</v>
      </c>
      <c r="S38" s="15">
        <v>543.4</v>
      </c>
    </row>
    <row r="39" spans="1:19" x14ac:dyDescent="0.3">
      <c r="A39" s="9" t="s">
        <v>101</v>
      </c>
      <c r="B39" s="9" t="s">
        <v>85</v>
      </c>
      <c r="C39" s="9">
        <v>320</v>
      </c>
      <c r="D39" s="9" t="s">
        <v>86</v>
      </c>
      <c r="E39" s="9">
        <v>2024</v>
      </c>
      <c r="F39" s="9" t="s">
        <v>87</v>
      </c>
      <c r="G39" s="10">
        <v>0.57399999999999995</v>
      </c>
      <c r="H39" s="11">
        <v>582</v>
      </c>
      <c r="I39" s="11">
        <v>334</v>
      </c>
      <c r="J39" s="11">
        <v>3208381</v>
      </c>
      <c r="K39" s="11">
        <v>681168</v>
      </c>
      <c r="L39" s="11">
        <v>1337546</v>
      </c>
      <c r="M39" s="11">
        <v>3889549</v>
      </c>
      <c r="N39" s="9">
        <v>5513</v>
      </c>
      <c r="O39" s="12">
        <v>51.8</v>
      </c>
      <c r="P39" s="13">
        <v>0.28399999999999997</v>
      </c>
      <c r="Q39" s="13">
        <v>0.28799999999999998</v>
      </c>
      <c r="R39" s="11">
        <v>139.30000000000001</v>
      </c>
      <c r="S39" s="11">
        <v>405.2</v>
      </c>
    </row>
    <row r="40" spans="1:19" x14ac:dyDescent="0.3">
      <c r="A40" s="14" t="s">
        <v>101</v>
      </c>
      <c r="B40" s="14" t="s">
        <v>85</v>
      </c>
      <c r="C40" s="14">
        <v>320</v>
      </c>
      <c r="D40" s="14" t="s">
        <v>88</v>
      </c>
      <c r="E40" s="14">
        <v>2024</v>
      </c>
      <c r="F40" s="14" t="s">
        <v>89</v>
      </c>
      <c r="G40" s="17">
        <v>0.65500000000000003</v>
      </c>
      <c r="H40" s="15">
        <v>668</v>
      </c>
      <c r="I40" s="15">
        <v>437</v>
      </c>
      <c r="J40" s="15">
        <v>4198707</v>
      </c>
      <c r="K40" s="15">
        <v>1013051</v>
      </c>
      <c r="L40" s="15">
        <v>1830063</v>
      </c>
      <c r="M40" s="15">
        <v>5211759</v>
      </c>
      <c r="N40" s="14">
        <v>6290</v>
      </c>
      <c r="O40" s="16">
        <v>57.6</v>
      </c>
      <c r="P40" s="17">
        <v>0.35699999999999998</v>
      </c>
      <c r="Q40" s="17">
        <v>0.27400000000000002</v>
      </c>
      <c r="R40" s="15">
        <v>190.6</v>
      </c>
      <c r="S40" s="15">
        <v>542.9</v>
      </c>
    </row>
    <row r="41" spans="1:19" x14ac:dyDescent="0.3">
      <c r="A41" s="9" t="s">
        <v>101</v>
      </c>
      <c r="B41" s="9" t="s">
        <v>85</v>
      </c>
      <c r="C41" s="9">
        <v>320</v>
      </c>
      <c r="D41" s="9" t="s">
        <v>90</v>
      </c>
      <c r="E41" s="9">
        <v>2024</v>
      </c>
      <c r="F41" s="9" t="s">
        <v>89</v>
      </c>
      <c r="G41" s="18">
        <v>0.97</v>
      </c>
      <c r="H41" s="11">
        <v>1019</v>
      </c>
      <c r="I41" s="11">
        <v>988</v>
      </c>
      <c r="J41" s="11">
        <v>9489485</v>
      </c>
      <c r="K41" s="11">
        <v>2494039</v>
      </c>
      <c r="L41" s="11">
        <v>3734624</v>
      </c>
      <c r="M41" s="11">
        <v>11983524</v>
      </c>
      <c r="N41" s="9">
        <v>9312</v>
      </c>
      <c r="O41" s="12">
        <v>65.400000000000006</v>
      </c>
      <c r="P41" s="13">
        <v>0.36</v>
      </c>
      <c r="Q41" s="13">
        <v>0.29599999999999999</v>
      </c>
      <c r="R41" s="11">
        <v>389</v>
      </c>
      <c r="S41" s="11">
        <v>1248.3</v>
      </c>
    </row>
    <row r="42" spans="1:19" x14ac:dyDescent="0.3">
      <c r="A42" s="14" t="s">
        <v>101</v>
      </c>
      <c r="B42" s="14" t="s">
        <v>85</v>
      </c>
      <c r="C42" s="14">
        <v>320</v>
      </c>
      <c r="D42" s="14" t="s">
        <v>91</v>
      </c>
      <c r="E42" s="14">
        <v>2024</v>
      </c>
      <c r="F42" s="14" t="s">
        <v>87</v>
      </c>
      <c r="G42" s="17">
        <v>0.65300000000000002</v>
      </c>
      <c r="H42" s="15">
        <v>687</v>
      </c>
      <c r="I42" s="15">
        <v>448</v>
      </c>
      <c r="J42" s="15">
        <v>4304563</v>
      </c>
      <c r="K42" s="15">
        <v>994400</v>
      </c>
      <c r="L42" s="15">
        <v>1716085</v>
      </c>
      <c r="M42" s="15">
        <v>5298963</v>
      </c>
      <c r="N42" s="14">
        <v>6268</v>
      </c>
      <c r="O42" s="16">
        <v>67.7</v>
      </c>
      <c r="P42" s="17">
        <v>0.35599999999999998</v>
      </c>
      <c r="Q42" s="17">
        <v>0.30599999999999999</v>
      </c>
      <c r="R42" s="15">
        <v>178.8</v>
      </c>
      <c r="S42" s="15">
        <v>552</v>
      </c>
    </row>
    <row r="43" spans="1:19" x14ac:dyDescent="0.3">
      <c r="A43" s="9" t="s">
        <v>101</v>
      </c>
      <c r="B43" s="9" t="s">
        <v>85</v>
      </c>
      <c r="C43" s="9">
        <v>320</v>
      </c>
      <c r="D43" s="9" t="s">
        <v>92</v>
      </c>
      <c r="E43" s="9">
        <v>2024</v>
      </c>
      <c r="F43" s="9" t="s">
        <v>87</v>
      </c>
      <c r="G43" s="13">
        <v>0.63700000000000001</v>
      </c>
      <c r="H43" s="11">
        <v>629</v>
      </c>
      <c r="I43" s="11">
        <v>401</v>
      </c>
      <c r="J43" s="11">
        <v>3845673</v>
      </c>
      <c r="K43" s="11">
        <v>1051755</v>
      </c>
      <c r="L43" s="11">
        <v>1789469</v>
      </c>
      <c r="M43" s="11">
        <v>4897428</v>
      </c>
      <c r="N43" s="9">
        <v>6110</v>
      </c>
      <c r="O43" s="12">
        <v>50.5</v>
      </c>
      <c r="P43" s="13">
        <v>0.315</v>
      </c>
      <c r="Q43" s="13">
        <v>0.29499999999999998</v>
      </c>
      <c r="R43" s="11">
        <v>186.4</v>
      </c>
      <c r="S43" s="11">
        <v>510.1</v>
      </c>
    </row>
    <row r="44" spans="1:19" x14ac:dyDescent="0.3">
      <c r="A44" s="14" t="s">
        <v>101</v>
      </c>
      <c r="B44" s="14" t="s">
        <v>85</v>
      </c>
      <c r="C44" s="14">
        <v>320</v>
      </c>
      <c r="D44" s="14" t="s">
        <v>93</v>
      </c>
      <c r="E44" s="14">
        <v>2024</v>
      </c>
      <c r="F44" s="14" t="s">
        <v>94</v>
      </c>
      <c r="G44" s="18">
        <v>0.97</v>
      </c>
      <c r="H44" s="15">
        <v>1230</v>
      </c>
      <c r="I44" s="15">
        <v>1193</v>
      </c>
      <c r="J44" s="15">
        <v>11456729</v>
      </c>
      <c r="K44" s="15">
        <v>2543695</v>
      </c>
      <c r="L44" s="15">
        <v>5461311</v>
      </c>
      <c r="M44" s="15">
        <v>14000424</v>
      </c>
      <c r="N44" s="14">
        <v>9312</v>
      </c>
      <c r="O44" s="16">
        <v>53.7</v>
      </c>
      <c r="P44" s="17">
        <v>0.33200000000000002</v>
      </c>
      <c r="Q44" s="17">
        <v>0.32500000000000001</v>
      </c>
      <c r="R44" s="15">
        <v>568.9</v>
      </c>
      <c r="S44" s="15">
        <v>1458.4</v>
      </c>
    </row>
    <row r="45" spans="1:19" x14ac:dyDescent="0.3">
      <c r="A45" s="9" t="s">
        <v>101</v>
      </c>
      <c r="B45" s="9" t="s">
        <v>85</v>
      </c>
      <c r="C45" s="9">
        <v>320</v>
      </c>
      <c r="D45" s="9" t="s">
        <v>95</v>
      </c>
      <c r="E45" s="9">
        <v>2024</v>
      </c>
      <c r="F45" s="9" t="s">
        <v>94</v>
      </c>
      <c r="G45" s="18">
        <v>0.97</v>
      </c>
      <c r="H45" s="11">
        <v>1310</v>
      </c>
      <c r="I45" s="11">
        <v>1271</v>
      </c>
      <c r="J45" s="11">
        <v>12198341</v>
      </c>
      <c r="K45" s="11">
        <v>3170972</v>
      </c>
      <c r="L45" s="11">
        <v>5059585</v>
      </c>
      <c r="M45" s="11">
        <v>15369313</v>
      </c>
      <c r="N45" s="9">
        <v>9312</v>
      </c>
      <c r="O45" s="12">
        <v>42.9</v>
      </c>
      <c r="P45" s="13">
        <v>0.30299999999999999</v>
      </c>
      <c r="Q45" s="13">
        <v>0.27500000000000002</v>
      </c>
      <c r="R45" s="11">
        <v>527</v>
      </c>
      <c r="S45" s="11">
        <v>1601</v>
      </c>
    </row>
    <row r="46" spans="1:19" x14ac:dyDescent="0.3">
      <c r="A46" s="14" t="s">
        <v>101</v>
      </c>
      <c r="B46" s="14" t="s">
        <v>85</v>
      </c>
      <c r="C46" s="14">
        <v>320</v>
      </c>
      <c r="D46" s="14" t="s">
        <v>96</v>
      </c>
      <c r="E46" s="14">
        <v>2024</v>
      </c>
      <c r="F46" s="14" t="s">
        <v>87</v>
      </c>
      <c r="G46" s="17">
        <v>0.64700000000000002</v>
      </c>
      <c r="H46" s="15">
        <v>702</v>
      </c>
      <c r="I46" s="15">
        <v>454</v>
      </c>
      <c r="J46" s="15">
        <v>4360066</v>
      </c>
      <c r="K46" s="15">
        <v>980845</v>
      </c>
      <c r="L46" s="15">
        <v>2068539</v>
      </c>
      <c r="M46" s="15">
        <v>5340912</v>
      </c>
      <c r="N46" s="14">
        <v>6215</v>
      </c>
      <c r="O46" s="16">
        <v>71.599999999999994</v>
      </c>
      <c r="P46" s="17">
        <v>0.34399999999999997</v>
      </c>
      <c r="Q46" s="17">
        <v>0.28799999999999998</v>
      </c>
      <c r="R46" s="15">
        <v>215.5</v>
      </c>
      <c r="S46" s="15">
        <v>556.29999999999995</v>
      </c>
    </row>
    <row r="47" spans="1:19" x14ac:dyDescent="0.3">
      <c r="A47" s="9" t="s">
        <v>101</v>
      </c>
      <c r="B47" s="9" t="s">
        <v>85</v>
      </c>
      <c r="C47" s="9">
        <v>320</v>
      </c>
      <c r="D47" s="9" t="s">
        <v>97</v>
      </c>
      <c r="E47" s="9">
        <v>2024</v>
      </c>
      <c r="F47" s="9" t="s">
        <v>87</v>
      </c>
      <c r="G47" s="13">
        <v>0.69599999999999995</v>
      </c>
      <c r="H47" s="11">
        <v>675</v>
      </c>
      <c r="I47" s="11">
        <v>470</v>
      </c>
      <c r="J47" s="11">
        <v>4509291</v>
      </c>
      <c r="K47" s="11">
        <v>1000700</v>
      </c>
      <c r="L47" s="11">
        <v>1811474</v>
      </c>
      <c r="M47" s="11">
        <v>5509991</v>
      </c>
      <c r="N47" s="9">
        <v>6684</v>
      </c>
      <c r="O47" s="12">
        <v>51.3</v>
      </c>
      <c r="P47" s="13">
        <v>0.34799999999999998</v>
      </c>
      <c r="Q47" s="13">
        <v>0.3</v>
      </c>
      <c r="R47" s="11">
        <v>188.7</v>
      </c>
      <c r="S47" s="11">
        <v>574</v>
      </c>
    </row>
    <row r="48" spans="1:19" x14ac:dyDescent="0.3">
      <c r="A48" s="14" t="s">
        <v>101</v>
      </c>
      <c r="B48" s="14" t="s">
        <v>85</v>
      </c>
      <c r="C48" s="14">
        <v>320</v>
      </c>
      <c r="D48" s="14" t="s">
        <v>98</v>
      </c>
      <c r="E48" s="14">
        <v>2024</v>
      </c>
      <c r="F48" s="14" t="s">
        <v>87</v>
      </c>
      <c r="G48" s="17">
        <v>0.71199999999999997</v>
      </c>
      <c r="H48" s="15">
        <v>692</v>
      </c>
      <c r="I48" s="15">
        <v>493</v>
      </c>
      <c r="J48" s="15">
        <v>4730242</v>
      </c>
      <c r="K48" s="15">
        <v>1263983</v>
      </c>
      <c r="L48" s="15">
        <v>2276940</v>
      </c>
      <c r="M48" s="15">
        <v>5994224</v>
      </c>
      <c r="N48" s="14">
        <v>6839</v>
      </c>
      <c r="O48" s="16">
        <v>68.3</v>
      </c>
      <c r="P48" s="17">
        <v>0.32400000000000001</v>
      </c>
      <c r="Q48" s="17">
        <v>0.28499999999999998</v>
      </c>
      <c r="R48" s="15">
        <v>237.2</v>
      </c>
      <c r="S48" s="15">
        <v>624.4</v>
      </c>
    </row>
    <row r="49" spans="1:19" x14ac:dyDescent="0.3">
      <c r="A49" s="9" t="s">
        <v>101</v>
      </c>
      <c r="B49" s="9" t="s">
        <v>85</v>
      </c>
      <c r="C49" s="9">
        <v>320</v>
      </c>
      <c r="D49" s="9" t="s">
        <v>99</v>
      </c>
      <c r="E49" s="9">
        <v>2024</v>
      </c>
      <c r="F49" s="9" t="s">
        <v>87</v>
      </c>
      <c r="G49" s="13">
        <v>0.65300000000000002</v>
      </c>
      <c r="H49" s="11">
        <v>720</v>
      </c>
      <c r="I49" s="11">
        <v>470</v>
      </c>
      <c r="J49" s="11">
        <v>4508734</v>
      </c>
      <c r="K49" s="11">
        <v>968932</v>
      </c>
      <c r="L49" s="11">
        <v>2175669</v>
      </c>
      <c r="M49" s="11">
        <v>5477667</v>
      </c>
      <c r="N49" s="9">
        <v>6264</v>
      </c>
      <c r="O49" s="12">
        <v>51</v>
      </c>
      <c r="P49" s="13">
        <v>0.29499999999999998</v>
      </c>
      <c r="Q49" s="13">
        <v>0.28299999999999997</v>
      </c>
      <c r="R49" s="11">
        <v>226.6</v>
      </c>
      <c r="S49" s="11">
        <v>570.6</v>
      </c>
    </row>
    <row r="50" spans="1:19" x14ac:dyDescent="0.3">
      <c r="A50" s="14" t="s">
        <v>101</v>
      </c>
      <c r="B50" s="14" t="s">
        <v>85</v>
      </c>
      <c r="C50" s="14">
        <v>320</v>
      </c>
      <c r="D50" s="14" t="s">
        <v>100</v>
      </c>
      <c r="E50" s="14">
        <v>2024</v>
      </c>
      <c r="F50" s="14" t="s">
        <v>87</v>
      </c>
      <c r="G50" s="17">
        <v>0.76600000000000001</v>
      </c>
      <c r="H50" s="15">
        <v>740</v>
      </c>
      <c r="I50" s="15">
        <v>567</v>
      </c>
      <c r="J50" s="15">
        <v>5441527</v>
      </c>
      <c r="K50" s="15">
        <v>1447426</v>
      </c>
      <c r="L50" s="15">
        <v>2827644</v>
      </c>
      <c r="M50" s="15">
        <v>6888954</v>
      </c>
      <c r="N50" s="14">
        <v>7350</v>
      </c>
      <c r="O50" s="16">
        <v>64.8</v>
      </c>
      <c r="P50" s="17">
        <v>0.29599999999999999</v>
      </c>
      <c r="Q50" s="17">
        <v>0.29399999999999998</v>
      </c>
      <c r="R50" s="15">
        <v>294.5</v>
      </c>
      <c r="S50" s="15">
        <v>717.6</v>
      </c>
    </row>
    <row r="51" spans="1:19" x14ac:dyDescent="0.3">
      <c r="A51" s="9" t="s">
        <v>102</v>
      </c>
      <c r="B51" s="9" t="s">
        <v>85</v>
      </c>
      <c r="C51" s="9">
        <v>280</v>
      </c>
      <c r="D51" s="9" t="s">
        <v>86</v>
      </c>
      <c r="E51" s="9">
        <v>2023</v>
      </c>
      <c r="F51" s="9" t="s">
        <v>87</v>
      </c>
      <c r="G51" s="10">
        <v>0.501</v>
      </c>
      <c r="H51" s="11">
        <v>548</v>
      </c>
      <c r="I51" s="11">
        <v>275</v>
      </c>
      <c r="J51" s="11">
        <v>2306641</v>
      </c>
      <c r="K51" s="11">
        <v>578012</v>
      </c>
      <c r="L51" s="11">
        <v>1057934</v>
      </c>
      <c r="M51" s="11">
        <v>2884654</v>
      </c>
      <c r="N51" s="9">
        <v>4212</v>
      </c>
      <c r="O51" s="12">
        <v>53.8</v>
      </c>
      <c r="P51" s="13">
        <v>0.314</v>
      </c>
      <c r="Q51" s="13">
        <v>0.29599999999999999</v>
      </c>
      <c r="R51" s="11">
        <v>125.9</v>
      </c>
      <c r="S51" s="11">
        <v>343.4</v>
      </c>
    </row>
    <row r="52" spans="1:19" x14ac:dyDescent="0.3">
      <c r="A52" s="14" t="s">
        <v>102</v>
      </c>
      <c r="B52" s="14" t="s">
        <v>85</v>
      </c>
      <c r="C52" s="14">
        <v>280</v>
      </c>
      <c r="D52" s="14" t="s">
        <v>88</v>
      </c>
      <c r="E52" s="14">
        <v>2023</v>
      </c>
      <c r="F52" s="14" t="s">
        <v>89</v>
      </c>
      <c r="G52" s="10">
        <v>0.58099999999999996</v>
      </c>
      <c r="H52" s="15">
        <v>627</v>
      </c>
      <c r="I52" s="15">
        <v>364</v>
      </c>
      <c r="J52" s="15">
        <v>3059508</v>
      </c>
      <c r="K52" s="15">
        <v>875564</v>
      </c>
      <c r="L52" s="15">
        <v>1547678</v>
      </c>
      <c r="M52" s="15">
        <v>3935072</v>
      </c>
      <c r="N52" s="14">
        <v>4877</v>
      </c>
      <c r="O52" s="16">
        <v>51.1</v>
      </c>
      <c r="P52" s="17">
        <v>0.28299999999999997</v>
      </c>
      <c r="Q52" s="17">
        <v>0.28199999999999997</v>
      </c>
      <c r="R52" s="15">
        <v>184.2</v>
      </c>
      <c r="S52" s="15">
        <v>468.5</v>
      </c>
    </row>
    <row r="53" spans="1:19" x14ac:dyDescent="0.3">
      <c r="A53" s="9" t="s">
        <v>102</v>
      </c>
      <c r="B53" s="9" t="s">
        <v>85</v>
      </c>
      <c r="C53" s="9">
        <v>280</v>
      </c>
      <c r="D53" s="9" t="s">
        <v>90</v>
      </c>
      <c r="E53" s="9">
        <v>2023</v>
      </c>
      <c r="F53" s="9" t="s">
        <v>89</v>
      </c>
      <c r="G53" s="13">
        <v>0.83499999999999996</v>
      </c>
      <c r="H53" s="11">
        <v>938</v>
      </c>
      <c r="I53" s="11">
        <v>783</v>
      </c>
      <c r="J53" s="11">
        <v>6574091</v>
      </c>
      <c r="K53" s="11">
        <v>1337758</v>
      </c>
      <c r="L53" s="11">
        <v>2376260</v>
      </c>
      <c r="M53" s="11">
        <v>7911849</v>
      </c>
      <c r="N53" s="9">
        <v>7011</v>
      </c>
      <c r="O53" s="12">
        <v>59.3</v>
      </c>
      <c r="P53" s="13">
        <v>0.36</v>
      </c>
      <c r="Q53" s="13">
        <v>0.28499999999999998</v>
      </c>
      <c r="R53" s="11">
        <v>282.89999999999998</v>
      </c>
      <c r="S53" s="11">
        <v>941.9</v>
      </c>
    </row>
    <row r="54" spans="1:19" x14ac:dyDescent="0.3">
      <c r="A54" s="14" t="s">
        <v>102</v>
      </c>
      <c r="B54" s="14" t="s">
        <v>85</v>
      </c>
      <c r="C54" s="14">
        <v>280</v>
      </c>
      <c r="D54" s="14" t="s">
        <v>91</v>
      </c>
      <c r="E54" s="14">
        <v>2023</v>
      </c>
      <c r="F54" s="14" t="s">
        <v>87</v>
      </c>
      <c r="G54" s="10">
        <v>0.53600000000000003</v>
      </c>
      <c r="H54" s="15">
        <v>624</v>
      </c>
      <c r="I54" s="15">
        <v>335</v>
      </c>
      <c r="J54" s="15">
        <v>2812699</v>
      </c>
      <c r="K54" s="15">
        <v>707829</v>
      </c>
      <c r="L54" s="15">
        <v>1280761</v>
      </c>
      <c r="M54" s="15">
        <v>3520527</v>
      </c>
      <c r="N54" s="14">
        <v>4504</v>
      </c>
      <c r="O54" s="16">
        <v>70.5</v>
      </c>
      <c r="P54" s="17">
        <v>0.33200000000000002</v>
      </c>
      <c r="Q54" s="17">
        <v>0.30099999999999999</v>
      </c>
      <c r="R54" s="15">
        <v>152.5</v>
      </c>
      <c r="S54" s="15">
        <v>419.1</v>
      </c>
    </row>
    <row r="55" spans="1:19" x14ac:dyDescent="0.3">
      <c r="A55" s="9" t="s">
        <v>102</v>
      </c>
      <c r="B55" s="9" t="s">
        <v>85</v>
      </c>
      <c r="C55" s="9">
        <v>280</v>
      </c>
      <c r="D55" s="9" t="s">
        <v>92</v>
      </c>
      <c r="E55" s="9">
        <v>2023</v>
      </c>
      <c r="F55" s="9" t="s">
        <v>87</v>
      </c>
      <c r="G55" s="10">
        <v>0.56499999999999995</v>
      </c>
      <c r="H55" s="11">
        <v>596</v>
      </c>
      <c r="I55" s="11">
        <v>337</v>
      </c>
      <c r="J55" s="11">
        <v>2828222</v>
      </c>
      <c r="K55" s="11">
        <v>818032</v>
      </c>
      <c r="L55" s="11">
        <v>1509458</v>
      </c>
      <c r="M55" s="11">
        <v>3646254</v>
      </c>
      <c r="N55" s="9">
        <v>4747</v>
      </c>
      <c r="O55" s="12">
        <v>53.2</v>
      </c>
      <c r="P55" s="13">
        <v>0.28399999999999997</v>
      </c>
      <c r="Q55" s="13">
        <v>0.28599999999999998</v>
      </c>
      <c r="R55" s="11">
        <v>179.7</v>
      </c>
      <c r="S55" s="11">
        <v>434.1</v>
      </c>
    </row>
    <row r="56" spans="1:19" x14ac:dyDescent="0.3">
      <c r="A56" s="14" t="s">
        <v>102</v>
      </c>
      <c r="B56" s="14" t="s">
        <v>85</v>
      </c>
      <c r="C56" s="14">
        <v>280</v>
      </c>
      <c r="D56" s="14" t="s">
        <v>93</v>
      </c>
      <c r="E56" s="14">
        <v>2023</v>
      </c>
      <c r="F56" s="14" t="s">
        <v>94</v>
      </c>
      <c r="G56" s="18">
        <v>0.97</v>
      </c>
      <c r="H56" s="15">
        <v>1171</v>
      </c>
      <c r="I56" s="15">
        <v>1136</v>
      </c>
      <c r="J56" s="15">
        <v>9537907</v>
      </c>
      <c r="K56" s="15">
        <v>2310044</v>
      </c>
      <c r="L56" s="15">
        <v>4741075</v>
      </c>
      <c r="M56" s="15">
        <v>11847951</v>
      </c>
      <c r="N56" s="14">
        <v>8147</v>
      </c>
      <c r="O56" s="16">
        <v>43.8</v>
      </c>
      <c r="P56" s="17">
        <v>0.34899999999999998</v>
      </c>
      <c r="Q56" s="17">
        <v>0.29499999999999998</v>
      </c>
      <c r="R56" s="15">
        <v>564.4</v>
      </c>
      <c r="S56" s="15">
        <v>1410.5</v>
      </c>
    </row>
    <row r="57" spans="1:19" x14ac:dyDescent="0.3">
      <c r="A57" s="9" t="s">
        <v>102</v>
      </c>
      <c r="B57" s="9" t="s">
        <v>85</v>
      </c>
      <c r="C57" s="9">
        <v>280</v>
      </c>
      <c r="D57" s="9" t="s">
        <v>95</v>
      </c>
      <c r="E57" s="9">
        <v>2023</v>
      </c>
      <c r="F57" s="9" t="s">
        <v>94</v>
      </c>
      <c r="G57" s="18">
        <v>0.97</v>
      </c>
      <c r="H57" s="11">
        <v>1226</v>
      </c>
      <c r="I57" s="11">
        <v>1190</v>
      </c>
      <c r="J57" s="11">
        <v>9990839</v>
      </c>
      <c r="K57" s="11">
        <v>2124242</v>
      </c>
      <c r="L57" s="11">
        <v>5063287</v>
      </c>
      <c r="M57" s="11">
        <v>12115081</v>
      </c>
      <c r="N57" s="9">
        <v>8147</v>
      </c>
      <c r="O57" s="12">
        <v>56.4</v>
      </c>
      <c r="P57" s="13">
        <v>0.35</v>
      </c>
      <c r="Q57" s="13">
        <v>0.29699999999999999</v>
      </c>
      <c r="R57" s="11">
        <v>602.79999999999995</v>
      </c>
      <c r="S57" s="11">
        <v>1442.3</v>
      </c>
    </row>
    <row r="58" spans="1:19" x14ac:dyDescent="0.3">
      <c r="A58" s="14" t="s">
        <v>102</v>
      </c>
      <c r="B58" s="14" t="s">
        <v>85</v>
      </c>
      <c r="C58" s="14">
        <v>280</v>
      </c>
      <c r="D58" s="14" t="s">
        <v>96</v>
      </c>
      <c r="E58" s="14">
        <v>2023</v>
      </c>
      <c r="F58" s="14" t="s">
        <v>87</v>
      </c>
      <c r="G58" s="10">
        <v>0.56100000000000005</v>
      </c>
      <c r="H58" s="15">
        <v>667</v>
      </c>
      <c r="I58" s="15">
        <v>374</v>
      </c>
      <c r="J58" s="15">
        <v>3144071</v>
      </c>
      <c r="K58" s="15">
        <v>816079</v>
      </c>
      <c r="L58" s="15">
        <v>1645971</v>
      </c>
      <c r="M58" s="15">
        <v>3960150</v>
      </c>
      <c r="N58" s="14">
        <v>4713</v>
      </c>
      <c r="O58" s="16">
        <v>74.099999999999994</v>
      </c>
      <c r="P58" s="17">
        <v>0.28999999999999998</v>
      </c>
      <c r="Q58" s="17">
        <v>0.30099999999999999</v>
      </c>
      <c r="R58" s="15">
        <v>195.9</v>
      </c>
      <c r="S58" s="15">
        <v>471.4</v>
      </c>
    </row>
    <row r="59" spans="1:19" x14ac:dyDescent="0.3">
      <c r="A59" s="9" t="s">
        <v>102</v>
      </c>
      <c r="B59" s="9" t="s">
        <v>85</v>
      </c>
      <c r="C59" s="9">
        <v>280</v>
      </c>
      <c r="D59" s="9" t="s">
        <v>97</v>
      </c>
      <c r="E59" s="9">
        <v>2023</v>
      </c>
      <c r="F59" s="9" t="s">
        <v>87</v>
      </c>
      <c r="G59" s="10">
        <v>0.59499999999999997</v>
      </c>
      <c r="H59" s="11">
        <v>697</v>
      </c>
      <c r="I59" s="11">
        <v>414</v>
      </c>
      <c r="J59" s="11">
        <v>3481043</v>
      </c>
      <c r="K59" s="11">
        <v>859697</v>
      </c>
      <c r="L59" s="11">
        <v>1522738</v>
      </c>
      <c r="M59" s="11">
        <v>4340740</v>
      </c>
      <c r="N59" s="9">
        <v>4995</v>
      </c>
      <c r="O59" s="12">
        <v>73.7</v>
      </c>
      <c r="P59" s="13">
        <v>0.29599999999999999</v>
      </c>
      <c r="Q59" s="13">
        <v>0.311</v>
      </c>
      <c r="R59" s="11">
        <v>181.3</v>
      </c>
      <c r="S59" s="11">
        <v>516.79999999999995</v>
      </c>
    </row>
    <row r="60" spans="1:19" x14ac:dyDescent="0.3">
      <c r="A60" s="14" t="s">
        <v>102</v>
      </c>
      <c r="B60" s="14" t="s">
        <v>85</v>
      </c>
      <c r="C60" s="14">
        <v>280</v>
      </c>
      <c r="D60" s="14" t="s">
        <v>98</v>
      </c>
      <c r="E60" s="14">
        <v>2023</v>
      </c>
      <c r="F60" s="14" t="s">
        <v>87</v>
      </c>
      <c r="G60" s="10">
        <v>0.59899999999999998</v>
      </c>
      <c r="H60" s="15">
        <v>713</v>
      </c>
      <c r="I60" s="15">
        <v>428</v>
      </c>
      <c r="J60" s="15">
        <v>3591945</v>
      </c>
      <c r="K60" s="15">
        <v>721186</v>
      </c>
      <c r="L60" s="15">
        <v>1411162</v>
      </c>
      <c r="M60" s="15">
        <v>4313131</v>
      </c>
      <c r="N60" s="14">
        <v>5035</v>
      </c>
      <c r="O60" s="16">
        <v>74.099999999999994</v>
      </c>
      <c r="P60" s="17">
        <v>0.30599999999999999</v>
      </c>
      <c r="Q60" s="17">
        <v>0.307</v>
      </c>
      <c r="R60" s="15">
        <v>168</v>
      </c>
      <c r="S60" s="15">
        <v>513.5</v>
      </c>
    </row>
    <row r="61" spans="1:19" x14ac:dyDescent="0.3">
      <c r="A61" s="9" t="s">
        <v>102</v>
      </c>
      <c r="B61" s="9" t="s">
        <v>85</v>
      </c>
      <c r="C61" s="9">
        <v>280</v>
      </c>
      <c r="D61" s="9" t="s">
        <v>99</v>
      </c>
      <c r="E61" s="9">
        <v>2023</v>
      </c>
      <c r="F61" s="9" t="s">
        <v>87</v>
      </c>
      <c r="G61" s="13">
        <v>0.629</v>
      </c>
      <c r="H61" s="11">
        <v>637</v>
      </c>
      <c r="I61" s="11">
        <v>400</v>
      </c>
      <c r="J61" s="11">
        <v>3361898</v>
      </c>
      <c r="K61" s="11">
        <v>944499</v>
      </c>
      <c r="L61" s="11">
        <v>1753101</v>
      </c>
      <c r="M61" s="11">
        <v>4306397</v>
      </c>
      <c r="N61" s="9">
        <v>5281</v>
      </c>
      <c r="O61" s="12">
        <v>52.1</v>
      </c>
      <c r="P61" s="13">
        <v>0.32</v>
      </c>
      <c r="Q61" s="13">
        <v>0.314</v>
      </c>
      <c r="R61" s="11">
        <v>208.7</v>
      </c>
      <c r="S61" s="11">
        <v>512.70000000000005</v>
      </c>
    </row>
    <row r="62" spans="1:19" x14ac:dyDescent="0.3">
      <c r="A62" s="14" t="s">
        <v>102</v>
      </c>
      <c r="B62" s="14" t="s">
        <v>85</v>
      </c>
      <c r="C62" s="14">
        <v>280</v>
      </c>
      <c r="D62" s="14" t="s">
        <v>100</v>
      </c>
      <c r="E62" s="14">
        <v>2023</v>
      </c>
      <c r="F62" s="14" t="s">
        <v>87</v>
      </c>
      <c r="G62" s="17">
        <v>0.66300000000000003</v>
      </c>
      <c r="H62" s="15">
        <v>714</v>
      </c>
      <c r="I62" s="15">
        <v>473</v>
      </c>
      <c r="J62" s="15">
        <v>3974527</v>
      </c>
      <c r="K62" s="15">
        <v>1027849</v>
      </c>
      <c r="L62" s="15">
        <v>2005870</v>
      </c>
      <c r="M62" s="15">
        <v>5002376</v>
      </c>
      <c r="N62" s="14">
        <v>5565</v>
      </c>
      <c r="O62" s="16">
        <v>48.6</v>
      </c>
      <c r="P62" s="17">
        <v>0.307</v>
      </c>
      <c r="Q62" s="17">
        <v>0.28199999999999997</v>
      </c>
      <c r="R62" s="15">
        <v>238.8</v>
      </c>
      <c r="S62" s="15">
        <v>595.5</v>
      </c>
    </row>
    <row r="63" spans="1:19" x14ac:dyDescent="0.3">
      <c r="A63" s="9" t="s">
        <v>102</v>
      </c>
      <c r="B63" s="9" t="s">
        <v>85</v>
      </c>
      <c r="C63" s="9">
        <v>280</v>
      </c>
      <c r="D63" s="9" t="s">
        <v>86</v>
      </c>
      <c r="E63" s="9">
        <v>2024</v>
      </c>
      <c r="F63" s="9" t="s">
        <v>87</v>
      </c>
      <c r="G63" s="10">
        <v>0.57999999999999996</v>
      </c>
      <c r="H63" s="11">
        <v>614</v>
      </c>
      <c r="I63" s="11">
        <v>356</v>
      </c>
      <c r="J63" s="11">
        <v>2990768</v>
      </c>
      <c r="K63" s="11">
        <v>896255</v>
      </c>
      <c r="L63" s="11">
        <v>1364089</v>
      </c>
      <c r="M63" s="11">
        <v>3887024</v>
      </c>
      <c r="N63" s="9">
        <v>4871</v>
      </c>
      <c r="O63" s="12">
        <v>63.3</v>
      </c>
      <c r="P63" s="13">
        <v>0.28299999999999997</v>
      </c>
      <c r="Q63" s="13">
        <v>0.311</v>
      </c>
      <c r="R63" s="11">
        <v>162.4</v>
      </c>
      <c r="S63" s="11">
        <v>462.7</v>
      </c>
    </row>
    <row r="64" spans="1:19" x14ac:dyDescent="0.3">
      <c r="A64" s="14" t="s">
        <v>102</v>
      </c>
      <c r="B64" s="14" t="s">
        <v>85</v>
      </c>
      <c r="C64" s="14">
        <v>280</v>
      </c>
      <c r="D64" s="14" t="s">
        <v>88</v>
      </c>
      <c r="E64" s="14">
        <v>2024</v>
      </c>
      <c r="F64" s="14" t="s">
        <v>89</v>
      </c>
      <c r="G64" s="17">
        <v>0.61299999999999999</v>
      </c>
      <c r="H64" s="15">
        <v>693</v>
      </c>
      <c r="I64" s="15">
        <v>424</v>
      </c>
      <c r="J64" s="15">
        <v>3564586</v>
      </c>
      <c r="K64" s="15">
        <v>834129</v>
      </c>
      <c r="L64" s="15">
        <v>1705910</v>
      </c>
      <c r="M64" s="15">
        <v>4398716</v>
      </c>
      <c r="N64" s="14">
        <v>5145</v>
      </c>
      <c r="O64" s="16">
        <v>69.400000000000006</v>
      </c>
      <c r="P64" s="17">
        <v>0.35299999999999998</v>
      </c>
      <c r="Q64" s="17">
        <v>0.28399999999999997</v>
      </c>
      <c r="R64" s="15">
        <v>203.1</v>
      </c>
      <c r="S64" s="15">
        <v>523.70000000000005</v>
      </c>
    </row>
    <row r="65" spans="1:19" x14ac:dyDescent="0.3">
      <c r="A65" s="9" t="s">
        <v>102</v>
      </c>
      <c r="B65" s="9" t="s">
        <v>85</v>
      </c>
      <c r="C65" s="9">
        <v>280</v>
      </c>
      <c r="D65" s="9" t="s">
        <v>90</v>
      </c>
      <c r="E65" s="9">
        <v>2024</v>
      </c>
      <c r="F65" s="9" t="s">
        <v>89</v>
      </c>
      <c r="G65" s="18">
        <v>0.88500000000000001</v>
      </c>
      <c r="H65" s="11">
        <v>1009</v>
      </c>
      <c r="I65" s="11">
        <v>893</v>
      </c>
      <c r="J65" s="11">
        <v>7497684</v>
      </c>
      <c r="K65" s="11">
        <v>1526254</v>
      </c>
      <c r="L65" s="11">
        <v>3607099</v>
      </c>
      <c r="M65" s="11">
        <v>9023938</v>
      </c>
      <c r="N65" s="9">
        <v>7432</v>
      </c>
      <c r="O65" s="12">
        <v>71.7</v>
      </c>
      <c r="P65" s="13">
        <v>0.34</v>
      </c>
      <c r="Q65" s="13">
        <v>0.27300000000000002</v>
      </c>
      <c r="R65" s="11">
        <v>429.4</v>
      </c>
      <c r="S65" s="11">
        <v>1074.3</v>
      </c>
    </row>
    <row r="66" spans="1:19" x14ac:dyDescent="0.3">
      <c r="A66" s="14" t="s">
        <v>102</v>
      </c>
      <c r="B66" s="14" t="s">
        <v>85</v>
      </c>
      <c r="C66" s="14">
        <v>280</v>
      </c>
      <c r="D66" s="14" t="s">
        <v>91</v>
      </c>
      <c r="E66" s="14">
        <v>2024</v>
      </c>
      <c r="F66" s="14" t="s">
        <v>87</v>
      </c>
      <c r="G66" s="10">
        <v>0.58499999999999996</v>
      </c>
      <c r="H66" s="15">
        <v>709</v>
      </c>
      <c r="I66" s="15">
        <v>415</v>
      </c>
      <c r="J66" s="15">
        <v>3483008</v>
      </c>
      <c r="K66" s="15">
        <v>1025671</v>
      </c>
      <c r="L66" s="15">
        <v>1689056</v>
      </c>
      <c r="M66" s="15">
        <v>4508679</v>
      </c>
      <c r="N66" s="14">
        <v>4916</v>
      </c>
      <c r="O66" s="16">
        <v>74.099999999999994</v>
      </c>
      <c r="P66" s="17">
        <v>0.32</v>
      </c>
      <c r="Q66" s="17">
        <v>0.308</v>
      </c>
      <c r="R66" s="15">
        <v>201.1</v>
      </c>
      <c r="S66" s="15">
        <v>536.70000000000005</v>
      </c>
    </row>
    <row r="67" spans="1:19" x14ac:dyDescent="0.3">
      <c r="A67" s="9" t="s">
        <v>102</v>
      </c>
      <c r="B67" s="9" t="s">
        <v>85</v>
      </c>
      <c r="C67" s="9">
        <v>280</v>
      </c>
      <c r="D67" s="9" t="s">
        <v>92</v>
      </c>
      <c r="E67" s="9">
        <v>2024</v>
      </c>
      <c r="F67" s="9" t="s">
        <v>87</v>
      </c>
      <c r="G67" s="13">
        <v>0.60399999999999998</v>
      </c>
      <c r="H67" s="11">
        <v>651</v>
      </c>
      <c r="I67" s="11">
        <v>393</v>
      </c>
      <c r="J67" s="11">
        <v>3303218</v>
      </c>
      <c r="K67" s="11">
        <v>660784</v>
      </c>
      <c r="L67" s="11">
        <v>1558160</v>
      </c>
      <c r="M67" s="11">
        <v>3964002</v>
      </c>
      <c r="N67" s="9">
        <v>5074</v>
      </c>
      <c r="O67" s="12">
        <v>67.3</v>
      </c>
      <c r="P67" s="13">
        <v>0.32900000000000001</v>
      </c>
      <c r="Q67" s="13">
        <v>0.27300000000000002</v>
      </c>
      <c r="R67" s="11">
        <v>185.5</v>
      </c>
      <c r="S67" s="11">
        <v>471.9</v>
      </c>
    </row>
    <row r="68" spans="1:19" x14ac:dyDescent="0.3">
      <c r="A68" s="14" t="s">
        <v>102</v>
      </c>
      <c r="B68" s="14" t="s">
        <v>85</v>
      </c>
      <c r="C68" s="14">
        <v>280</v>
      </c>
      <c r="D68" s="14" t="s">
        <v>93</v>
      </c>
      <c r="E68" s="14">
        <v>2024</v>
      </c>
      <c r="F68" s="14" t="s">
        <v>94</v>
      </c>
      <c r="G68" s="18">
        <v>0.97</v>
      </c>
      <c r="H68" s="15">
        <v>1212</v>
      </c>
      <c r="I68" s="15">
        <v>1176</v>
      </c>
      <c r="J68" s="15">
        <v>9876550</v>
      </c>
      <c r="K68" s="15">
        <v>2933368</v>
      </c>
      <c r="L68" s="15">
        <v>4837609</v>
      </c>
      <c r="M68" s="15">
        <v>12809918</v>
      </c>
      <c r="N68" s="14">
        <v>8147</v>
      </c>
      <c r="O68" s="16">
        <v>40.1</v>
      </c>
      <c r="P68" s="17">
        <v>0.35299999999999998</v>
      </c>
      <c r="Q68" s="17">
        <v>0.27700000000000002</v>
      </c>
      <c r="R68" s="15">
        <v>575.9</v>
      </c>
      <c r="S68" s="15">
        <v>1525</v>
      </c>
    </row>
    <row r="69" spans="1:19" x14ac:dyDescent="0.3">
      <c r="A69" s="9" t="s">
        <v>102</v>
      </c>
      <c r="B69" s="9" t="s">
        <v>85</v>
      </c>
      <c r="C69" s="9">
        <v>280</v>
      </c>
      <c r="D69" s="9" t="s">
        <v>95</v>
      </c>
      <c r="E69" s="9">
        <v>2024</v>
      </c>
      <c r="F69" s="9" t="s">
        <v>94</v>
      </c>
      <c r="G69" s="18">
        <v>0.97</v>
      </c>
      <c r="H69" s="11">
        <v>1309</v>
      </c>
      <c r="I69" s="11">
        <v>1269</v>
      </c>
      <c r="J69" s="11">
        <v>10662282</v>
      </c>
      <c r="K69" s="11">
        <v>2230955</v>
      </c>
      <c r="L69" s="11">
        <v>4317906</v>
      </c>
      <c r="M69" s="11">
        <v>12893238</v>
      </c>
      <c r="N69" s="9">
        <v>8147</v>
      </c>
      <c r="O69" s="12">
        <v>57.2</v>
      </c>
      <c r="P69" s="13">
        <v>0.33900000000000002</v>
      </c>
      <c r="Q69" s="13">
        <v>0.28999999999999998</v>
      </c>
      <c r="R69" s="11">
        <v>514</v>
      </c>
      <c r="S69" s="11">
        <v>1534.9</v>
      </c>
    </row>
    <row r="70" spans="1:19" x14ac:dyDescent="0.3">
      <c r="A70" s="14" t="s">
        <v>102</v>
      </c>
      <c r="B70" s="14" t="s">
        <v>85</v>
      </c>
      <c r="C70" s="14">
        <v>280</v>
      </c>
      <c r="D70" s="14" t="s">
        <v>96</v>
      </c>
      <c r="E70" s="14">
        <v>2024</v>
      </c>
      <c r="F70" s="14" t="s">
        <v>87</v>
      </c>
      <c r="G70" s="17">
        <v>0.66200000000000003</v>
      </c>
      <c r="H70" s="15">
        <v>685</v>
      </c>
      <c r="I70" s="15">
        <v>454</v>
      </c>
      <c r="J70" s="15">
        <v>3810176</v>
      </c>
      <c r="K70" s="15">
        <v>1017454</v>
      </c>
      <c r="L70" s="15">
        <v>1666391</v>
      </c>
      <c r="M70" s="15">
        <v>4827630</v>
      </c>
      <c r="N70" s="14">
        <v>5561</v>
      </c>
      <c r="O70" s="16">
        <v>67.5</v>
      </c>
      <c r="P70" s="17">
        <v>0.32900000000000001</v>
      </c>
      <c r="Q70" s="17">
        <v>0.28599999999999998</v>
      </c>
      <c r="R70" s="15">
        <v>198.4</v>
      </c>
      <c r="S70" s="15">
        <v>574.70000000000005</v>
      </c>
    </row>
    <row r="71" spans="1:19" x14ac:dyDescent="0.3">
      <c r="A71" s="9" t="s">
        <v>102</v>
      </c>
      <c r="B71" s="9" t="s">
        <v>85</v>
      </c>
      <c r="C71" s="9">
        <v>280</v>
      </c>
      <c r="D71" s="9" t="s">
        <v>97</v>
      </c>
      <c r="E71" s="9">
        <v>2024</v>
      </c>
      <c r="F71" s="9" t="s">
        <v>87</v>
      </c>
      <c r="G71" s="13">
        <v>0.67</v>
      </c>
      <c r="H71" s="11">
        <v>771</v>
      </c>
      <c r="I71" s="11">
        <v>516</v>
      </c>
      <c r="J71" s="11">
        <v>4337185</v>
      </c>
      <c r="K71" s="11">
        <v>1135175</v>
      </c>
      <c r="L71" s="11">
        <v>1819215</v>
      </c>
      <c r="M71" s="11">
        <v>5472361</v>
      </c>
      <c r="N71" s="9">
        <v>5629</v>
      </c>
      <c r="O71" s="12">
        <v>60</v>
      </c>
      <c r="P71" s="13">
        <v>0.29899999999999999</v>
      </c>
      <c r="Q71" s="13">
        <v>0.32100000000000001</v>
      </c>
      <c r="R71" s="11">
        <v>216.6</v>
      </c>
      <c r="S71" s="11">
        <v>651.5</v>
      </c>
    </row>
    <row r="72" spans="1:19" x14ac:dyDescent="0.3">
      <c r="A72" s="14" t="s">
        <v>102</v>
      </c>
      <c r="B72" s="14" t="s">
        <v>85</v>
      </c>
      <c r="C72" s="14">
        <v>280</v>
      </c>
      <c r="D72" s="14" t="s">
        <v>98</v>
      </c>
      <c r="E72" s="14">
        <v>2024</v>
      </c>
      <c r="F72" s="14" t="s">
        <v>87</v>
      </c>
      <c r="G72" s="17">
        <v>0.65300000000000002</v>
      </c>
      <c r="H72" s="15">
        <v>750</v>
      </c>
      <c r="I72" s="15">
        <v>490</v>
      </c>
      <c r="J72" s="15">
        <v>4114231</v>
      </c>
      <c r="K72" s="15">
        <v>904074</v>
      </c>
      <c r="L72" s="15">
        <v>2072351</v>
      </c>
      <c r="M72" s="15">
        <v>5018305</v>
      </c>
      <c r="N72" s="14">
        <v>5483</v>
      </c>
      <c r="O72" s="16">
        <v>62.5</v>
      </c>
      <c r="P72" s="17">
        <v>0.317</v>
      </c>
      <c r="Q72" s="17">
        <v>0.32800000000000001</v>
      </c>
      <c r="R72" s="15">
        <v>246.7</v>
      </c>
      <c r="S72" s="15">
        <v>597.4</v>
      </c>
    </row>
    <row r="73" spans="1:19" x14ac:dyDescent="0.3">
      <c r="A73" s="9" t="s">
        <v>102</v>
      </c>
      <c r="B73" s="9" t="s">
        <v>85</v>
      </c>
      <c r="C73" s="9">
        <v>280</v>
      </c>
      <c r="D73" s="9" t="s">
        <v>99</v>
      </c>
      <c r="E73" s="9">
        <v>2024</v>
      </c>
      <c r="F73" s="9" t="s">
        <v>87</v>
      </c>
      <c r="G73" s="13">
        <v>0.64700000000000002</v>
      </c>
      <c r="H73" s="11">
        <v>746</v>
      </c>
      <c r="I73" s="11">
        <v>483</v>
      </c>
      <c r="J73" s="11">
        <v>4053187</v>
      </c>
      <c r="K73" s="11">
        <v>1130165</v>
      </c>
      <c r="L73" s="11">
        <v>2038579</v>
      </c>
      <c r="M73" s="11">
        <v>5183352</v>
      </c>
      <c r="N73" s="9">
        <v>5432</v>
      </c>
      <c r="O73" s="12">
        <v>71.7</v>
      </c>
      <c r="P73" s="13">
        <v>0.32200000000000001</v>
      </c>
      <c r="Q73" s="13">
        <v>0.32700000000000001</v>
      </c>
      <c r="R73" s="11">
        <v>242.7</v>
      </c>
      <c r="S73" s="11">
        <v>617.1</v>
      </c>
    </row>
    <row r="74" spans="1:19" x14ac:dyDescent="0.3">
      <c r="A74" s="14" t="s">
        <v>102</v>
      </c>
      <c r="B74" s="14" t="s">
        <v>85</v>
      </c>
      <c r="C74" s="14">
        <v>280</v>
      </c>
      <c r="D74" s="14" t="s">
        <v>100</v>
      </c>
      <c r="E74" s="14">
        <v>2024</v>
      </c>
      <c r="F74" s="14" t="s">
        <v>87</v>
      </c>
      <c r="G74" s="17">
        <v>0.65100000000000002</v>
      </c>
      <c r="H74" s="15">
        <v>763</v>
      </c>
      <c r="I74" s="15">
        <v>497</v>
      </c>
      <c r="J74" s="15">
        <v>4174033</v>
      </c>
      <c r="K74" s="15">
        <v>893590</v>
      </c>
      <c r="L74" s="15">
        <v>1791805</v>
      </c>
      <c r="M74" s="15">
        <v>5067623</v>
      </c>
      <c r="N74" s="14">
        <v>5471</v>
      </c>
      <c r="O74" s="16">
        <v>66.3</v>
      </c>
      <c r="P74" s="17">
        <v>0.29499999999999998</v>
      </c>
      <c r="Q74" s="17">
        <v>0.28699999999999998</v>
      </c>
      <c r="R74" s="15">
        <v>213.3</v>
      </c>
      <c r="S74" s="15">
        <v>603.29999999999995</v>
      </c>
    </row>
    <row r="75" spans="1:19" x14ac:dyDescent="0.3">
      <c r="A75" s="9" t="s">
        <v>103</v>
      </c>
      <c r="B75" s="9" t="s">
        <v>85</v>
      </c>
      <c r="C75" s="9">
        <v>420</v>
      </c>
      <c r="D75" s="9" t="s">
        <v>86</v>
      </c>
      <c r="E75" s="9">
        <v>2023</v>
      </c>
      <c r="F75" s="9" t="s">
        <v>87</v>
      </c>
      <c r="G75" s="10">
        <v>0.59699999999999998</v>
      </c>
      <c r="H75" s="11">
        <v>593</v>
      </c>
      <c r="I75" s="11">
        <v>354</v>
      </c>
      <c r="J75" s="11">
        <v>4459475</v>
      </c>
      <c r="K75" s="11">
        <v>1305210</v>
      </c>
      <c r="L75" s="11">
        <v>2135240</v>
      </c>
      <c r="M75" s="11">
        <v>5764685</v>
      </c>
      <c r="N75" s="9">
        <v>7525</v>
      </c>
      <c r="O75" s="12">
        <v>57.2</v>
      </c>
      <c r="P75" s="13">
        <v>0.313</v>
      </c>
      <c r="Q75" s="13">
        <v>0.30399999999999999</v>
      </c>
      <c r="R75" s="11">
        <v>169.5</v>
      </c>
      <c r="S75" s="11">
        <v>457.5</v>
      </c>
    </row>
    <row r="76" spans="1:19" x14ac:dyDescent="0.3">
      <c r="A76" s="14" t="s">
        <v>103</v>
      </c>
      <c r="B76" s="14" t="s">
        <v>85</v>
      </c>
      <c r="C76" s="14">
        <v>420</v>
      </c>
      <c r="D76" s="14" t="s">
        <v>88</v>
      </c>
      <c r="E76" s="14">
        <v>2023</v>
      </c>
      <c r="F76" s="14" t="s">
        <v>89</v>
      </c>
      <c r="G76" s="17">
        <v>0.63900000000000001</v>
      </c>
      <c r="H76" s="15">
        <v>636</v>
      </c>
      <c r="I76" s="15">
        <v>407</v>
      </c>
      <c r="J76" s="15">
        <v>5123287</v>
      </c>
      <c r="K76" s="15">
        <v>1368914</v>
      </c>
      <c r="L76" s="15">
        <v>2546091</v>
      </c>
      <c r="M76" s="15">
        <v>6492201</v>
      </c>
      <c r="N76" s="14">
        <v>8051</v>
      </c>
      <c r="O76" s="16">
        <v>67.8</v>
      </c>
      <c r="P76" s="17">
        <v>0.30099999999999999</v>
      </c>
      <c r="Q76" s="17">
        <v>0.307</v>
      </c>
      <c r="R76" s="15">
        <v>202.1</v>
      </c>
      <c r="S76" s="15">
        <v>515.29999999999995</v>
      </c>
    </row>
    <row r="77" spans="1:19" x14ac:dyDescent="0.3">
      <c r="A77" s="9" t="s">
        <v>103</v>
      </c>
      <c r="B77" s="9" t="s">
        <v>85</v>
      </c>
      <c r="C77" s="9">
        <v>420</v>
      </c>
      <c r="D77" s="9" t="s">
        <v>90</v>
      </c>
      <c r="E77" s="9">
        <v>2023</v>
      </c>
      <c r="F77" s="9" t="s">
        <v>89</v>
      </c>
      <c r="G77" s="18">
        <v>0.96399999999999997</v>
      </c>
      <c r="H77" s="11">
        <v>905</v>
      </c>
      <c r="I77" s="11">
        <v>873</v>
      </c>
      <c r="J77" s="11">
        <v>10995105</v>
      </c>
      <c r="K77" s="11">
        <v>2786807</v>
      </c>
      <c r="L77" s="11">
        <v>4516377</v>
      </c>
      <c r="M77" s="11">
        <v>13781912</v>
      </c>
      <c r="N77" s="9">
        <v>12150</v>
      </c>
      <c r="O77" s="12">
        <v>62.1</v>
      </c>
      <c r="P77" s="13">
        <v>0.32200000000000001</v>
      </c>
      <c r="Q77" s="13">
        <v>0.31900000000000001</v>
      </c>
      <c r="R77" s="11">
        <v>358.4</v>
      </c>
      <c r="S77" s="11">
        <v>1093.8</v>
      </c>
    </row>
    <row r="78" spans="1:19" x14ac:dyDescent="0.3">
      <c r="A78" s="14" t="s">
        <v>103</v>
      </c>
      <c r="B78" s="14" t="s">
        <v>85</v>
      </c>
      <c r="C78" s="14">
        <v>420</v>
      </c>
      <c r="D78" s="14" t="s">
        <v>91</v>
      </c>
      <c r="E78" s="14">
        <v>2023</v>
      </c>
      <c r="F78" s="14" t="s">
        <v>87</v>
      </c>
      <c r="G78" s="17">
        <v>0.65300000000000002</v>
      </c>
      <c r="H78" s="15">
        <v>647</v>
      </c>
      <c r="I78" s="15">
        <v>422</v>
      </c>
      <c r="J78" s="15">
        <v>5321727</v>
      </c>
      <c r="K78" s="15">
        <v>1160679</v>
      </c>
      <c r="L78" s="15">
        <v>2425547</v>
      </c>
      <c r="M78" s="15">
        <v>6482407</v>
      </c>
      <c r="N78" s="14">
        <v>8224</v>
      </c>
      <c r="O78" s="16">
        <v>67.5</v>
      </c>
      <c r="P78" s="17">
        <v>0.34699999999999998</v>
      </c>
      <c r="Q78" s="17">
        <v>0.27900000000000003</v>
      </c>
      <c r="R78" s="15">
        <v>192.5</v>
      </c>
      <c r="S78" s="15">
        <v>514.5</v>
      </c>
    </row>
    <row r="79" spans="1:19" x14ac:dyDescent="0.3">
      <c r="A79" s="9" t="s">
        <v>103</v>
      </c>
      <c r="B79" s="9" t="s">
        <v>85</v>
      </c>
      <c r="C79" s="9">
        <v>420</v>
      </c>
      <c r="D79" s="9" t="s">
        <v>92</v>
      </c>
      <c r="E79" s="9">
        <v>2023</v>
      </c>
      <c r="F79" s="9" t="s">
        <v>87</v>
      </c>
      <c r="G79" s="13">
        <v>0.627</v>
      </c>
      <c r="H79" s="11">
        <v>637</v>
      </c>
      <c r="I79" s="11">
        <v>399</v>
      </c>
      <c r="J79" s="11">
        <v>5031058</v>
      </c>
      <c r="K79" s="11">
        <v>1433207</v>
      </c>
      <c r="L79" s="11">
        <v>2588728</v>
      </c>
      <c r="M79" s="11">
        <v>6464264</v>
      </c>
      <c r="N79" s="9">
        <v>7904</v>
      </c>
      <c r="O79" s="12">
        <v>68.5</v>
      </c>
      <c r="P79" s="13">
        <v>0.29799999999999999</v>
      </c>
      <c r="Q79" s="13">
        <v>0.308</v>
      </c>
      <c r="R79" s="11">
        <v>205.5</v>
      </c>
      <c r="S79" s="11">
        <v>513</v>
      </c>
    </row>
    <row r="80" spans="1:19" x14ac:dyDescent="0.3">
      <c r="A80" s="14" t="s">
        <v>103</v>
      </c>
      <c r="B80" s="14" t="s">
        <v>85</v>
      </c>
      <c r="C80" s="14">
        <v>420</v>
      </c>
      <c r="D80" s="14" t="s">
        <v>93</v>
      </c>
      <c r="E80" s="14">
        <v>2023</v>
      </c>
      <c r="F80" s="14" t="s">
        <v>94</v>
      </c>
      <c r="G80" s="18">
        <v>0.97</v>
      </c>
      <c r="H80" s="15">
        <v>1218</v>
      </c>
      <c r="I80" s="15">
        <v>1182</v>
      </c>
      <c r="J80" s="15">
        <v>14891973</v>
      </c>
      <c r="K80" s="15">
        <v>4270888</v>
      </c>
      <c r="L80" s="15">
        <v>6608766</v>
      </c>
      <c r="M80" s="15">
        <v>19162861</v>
      </c>
      <c r="N80" s="14">
        <v>12222</v>
      </c>
      <c r="O80" s="16">
        <v>59.8</v>
      </c>
      <c r="P80" s="17">
        <v>0.32800000000000001</v>
      </c>
      <c r="Q80" s="17">
        <v>0.29099999999999998</v>
      </c>
      <c r="R80" s="15">
        <v>524.5</v>
      </c>
      <c r="S80" s="15">
        <v>1520.9</v>
      </c>
    </row>
    <row r="81" spans="1:19" x14ac:dyDescent="0.3">
      <c r="A81" s="9" t="s">
        <v>103</v>
      </c>
      <c r="B81" s="9" t="s">
        <v>85</v>
      </c>
      <c r="C81" s="9">
        <v>420</v>
      </c>
      <c r="D81" s="9" t="s">
        <v>95</v>
      </c>
      <c r="E81" s="9">
        <v>2023</v>
      </c>
      <c r="F81" s="9" t="s">
        <v>94</v>
      </c>
      <c r="G81" s="18">
        <v>0.97</v>
      </c>
      <c r="H81" s="11">
        <v>1244</v>
      </c>
      <c r="I81" s="11">
        <v>1206</v>
      </c>
      <c r="J81" s="11">
        <v>15200578</v>
      </c>
      <c r="K81" s="11">
        <v>3571595</v>
      </c>
      <c r="L81" s="11">
        <v>6727587</v>
      </c>
      <c r="M81" s="11">
        <v>18772173</v>
      </c>
      <c r="N81" s="9">
        <v>12222</v>
      </c>
      <c r="O81" s="12">
        <v>59.1</v>
      </c>
      <c r="P81" s="13">
        <v>0.32400000000000001</v>
      </c>
      <c r="Q81" s="13">
        <v>0.27500000000000002</v>
      </c>
      <c r="R81" s="11">
        <v>533.9</v>
      </c>
      <c r="S81" s="11">
        <v>1489.9</v>
      </c>
    </row>
    <row r="82" spans="1:19" x14ac:dyDescent="0.3">
      <c r="A82" s="14" t="s">
        <v>103</v>
      </c>
      <c r="B82" s="14" t="s">
        <v>85</v>
      </c>
      <c r="C82" s="14">
        <v>420</v>
      </c>
      <c r="D82" s="14" t="s">
        <v>96</v>
      </c>
      <c r="E82" s="14">
        <v>2023</v>
      </c>
      <c r="F82" s="14" t="s">
        <v>87</v>
      </c>
      <c r="G82" s="17">
        <v>0.70399999999999996</v>
      </c>
      <c r="H82" s="15">
        <v>644</v>
      </c>
      <c r="I82" s="15">
        <v>453</v>
      </c>
      <c r="J82" s="15">
        <v>5713287</v>
      </c>
      <c r="K82" s="15">
        <v>1501976</v>
      </c>
      <c r="L82" s="15">
        <v>2704507</v>
      </c>
      <c r="M82" s="15">
        <v>7215263</v>
      </c>
      <c r="N82" s="14">
        <v>8865</v>
      </c>
      <c r="O82" s="16">
        <v>70.2</v>
      </c>
      <c r="P82" s="17">
        <v>0.33800000000000002</v>
      </c>
      <c r="Q82" s="17">
        <v>0.28699999999999998</v>
      </c>
      <c r="R82" s="15">
        <v>214.6</v>
      </c>
      <c r="S82" s="15">
        <v>572.6</v>
      </c>
    </row>
    <row r="83" spans="1:19" x14ac:dyDescent="0.3">
      <c r="A83" s="9" t="s">
        <v>103</v>
      </c>
      <c r="B83" s="9" t="s">
        <v>85</v>
      </c>
      <c r="C83" s="9">
        <v>420</v>
      </c>
      <c r="D83" s="9" t="s">
        <v>97</v>
      </c>
      <c r="E83" s="9">
        <v>2023</v>
      </c>
      <c r="F83" s="9" t="s">
        <v>87</v>
      </c>
      <c r="G83" s="13">
        <v>0.69799999999999995</v>
      </c>
      <c r="H83" s="11">
        <v>681</v>
      </c>
      <c r="I83" s="11">
        <v>476</v>
      </c>
      <c r="J83" s="11">
        <v>5991408</v>
      </c>
      <c r="K83" s="11">
        <v>1429144</v>
      </c>
      <c r="L83" s="11">
        <v>2528806</v>
      </c>
      <c r="M83" s="11">
        <v>7420553</v>
      </c>
      <c r="N83" s="9">
        <v>8793</v>
      </c>
      <c r="O83" s="12">
        <v>68.599999999999994</v>
      </c>
      <c r="P83" s="13">
        <v>0.36</v>
      </c>
      <c r="Q83" s="13">
        <v>0.28000000000000003</v>
      </c>
      <c r="R83" s="11">
        <v>200.7</v>
      </c>
      <c r="S83" s="11">
        <v>588.9</v>
      </c>
    </row>
    <row r="84" spans="1:19" x14ac:dyDescent="0.3">
      <c r="A84" s="14" t="s">
        <v>103</v>
      </c>
      <c r="B84" s="14" t="s">
        <v>85</v>
      </c>
      <c r="C84" s="14">
        <v>420</v>
      </c>
      <c r="D84" s="14" t="s">
        <v>98</v>
      </c>
      <c r="E84" s="14">
        <v>2023</v>
      </c>
      <c r="F84" s="14" t="s">
        <v>87</v>
      </c>
      <c r="G84" s="17">
        <v>0.69699999999999995</v>
      </c>
      <c r="H84" s="15">
        <v>740</v>
      </c>
      <c r="I84" s="15">
        <v>516</v>
      </c>
      <c r="J84" s="15">
        <v>6500325</v>
      </c>
      <c r="K84" s="15">
        <v>1627703</v>
      </c>
      <c r="L84" s="15">
        <v>3228934</v>
      </c>
      <c r="M84" s="15">
        <v>8128028</v>
      </c>
      <c r="N84" s="14">
        <v>8779</v>
      </c>
      <c r="O84" s="16">
        <v>65.7</v>
      </c>
      <c r="P84" s="17">
        <v>0.35199999999999998</v>
      </c>
      <c r="Q84" s="17">
        <v>0.27300000000000002</v>
      </c>
      <c r="R84" s="15">
        <v>256.3</v>
      </c>
      <c r="S84" s="15">
        <v>645.1</v>
      </c>
    </row>
    <row r="85" spans="1:19" x14ac:dyDescent="0.3">
      <c r="A85" s="9" t="s">
        <v>103</v>
      </c>
      <c r="B85" s="9" t="s">
        <v>85</v>
      </c>
      <c r="C85" s="9">
        <v>420</v>
      </c>
      <c r="D85" s="9" t="s">
        <v>99</v>
      </c>
      <c r="E85" s="9">
        <v>2023</v>
      </c>
      <c r="F85" s="9" t="s">
        <v>87</v>
      </c>
      <c r="G85" s="13">
        <v>0.65</v>
      </c>
      <c r="H85" s="11">
        <v>669</v>
      </c>
      <c r="I85" s="11">
        <v>434</v>
      </c>
      <c r="J85" s="11">
        <v>5473181</v>
      </c>
      <c r="K85" s="11">
        <v>1338981</v>
      </c>
      <c r="L85" s="11">
        <v>2303765</v>
      </c>
      <c r="M85" s="11">
        <v>6812162</v>
      </c>
      <c r="N85" s="9">
        <v>8184</v>
      </c>
      <c r="O85" s="12">
        <v>57.4</v>
      </c>
      <c r="P85" s="13">
        <v>0.29299999999999998</v>
      </c>
      <c r="Q85" s="13">
        <v>0.32</v>
      </c>
      <c r="R85" s="11">
        <v>182.8</v>
      </c>
      <c r="S85" s="11">
        <v>540.6</v>
      </c>
    </row>
    <row r="86" spans="1:19" x14ac:dyDescent="0.3">
      <c r="A86" s="14" t="s">
        <v>103</v>
      </c>
      <c r="B86" s="14" t="s">
        <v>85</v>
      </c>
      <c r="C86" s="14">
        <v>420</v>
      </c>
      <c r="D86" s="14" t="s">
        <v>100</v>
      </c>
      <c r="E86" s="14">
        <v>2023</v>
      </c>
      <c r="F86" s="14" t="s">
        <v>87</v>
      </c>
      <c r="G86" s="17">
        <v>0.72799999999999998</v>
      </c>
      <c r="H86" s="15">
        <v>709</v>
      </c>
      <c r="I86" s="15">
        <v>516</v>
      </c>
      <c r="J86" s="15">
        <v>6502694</v>
      </c>
      <c r="K86" s="15">
        <v>1555728</v>
      </c>
      <c r="L86" s="15">
        <v>2713268</v>
      </c>
      <c r="M86" s="15">
        <v>8058422</v>
      </c>
      <c r="N86" s="14">
        <v>9176</v>
      </c>
      <c r="O86" s="16">
        <v>70.2</v>
      </c>
      <c r="P86" s="17">
        <v>0.28199999999999997</v>
      </c>
      <c r="Q86" s="17">
        <v>0.32</v>
      </c>
      <c r="R86" s="15">
        <v>215.3</v>
      </c>
      <c r="S86" s="15">
        <v>639.6</v>
      </c>
    </row>
    <row r="87" spans="1:19" x14ac:dyDescent="0.3">
      <c r="A87" s="9" t="s">
        <v>103</v>
      </c>
      <c r="B87" s="9" t="s">
        <v>85</v>
      </c>
      <c r="C87" s="9">
        <v>420</v>
      </c>
      <c r="D87" s="9" t="s">
        <v>86</v>
      </c>
      <c r="E87" s="9">
        <v>2024</v>
      </c>
      <c r="F87" s="9" t="s">
        <v>87</v>
      </c>
      <c r="G87" s="13">
        <v>0.60799999999999998</v>
      </c>
      <c r="H87" s="11">
        <v>605</v>
      </c>
      <c r="I87" s="11">
        <v>367</v>
      </c>
      <c r="J87" s="11">
        <v>4629442</v>
      </c>
      <c r="K87" s="11">
        <v>1071187</v>
      </c>
      <c r="L87" s="11">
        <v>2073132</v>
      </c>
      <c r="M87" s="11">
        <v>5700629</v>
      </c>
      <c r="N87" s="9">
        <v>7658</v>
      </c>
      <c r="O87" s="12">
        <v>66</v>
      </c>
      <c r="P87" s="13">
        <v>0.35799999999999998</v>
      </c>
      <c r="Q87" s="13">
        <v>0.29599999999999999</v>
      </c>
      <c r="R87" s="11">
        <v>164.5</v>
      </c>
      <c r="S87" s="11">
        <v>452.4</v>
      </c>
    </row>
    <row r="88" spans="1:19" x14ac:dyDescent="0.3">
      <c r="A88" s="14" t="s">
        <v>103</v>
      </c>
      <c r="B88" s="14" t="s">
        <v>85</v>
      </c>
      <c r="C88" s="14">
        <v>420</v>
      </c>
      <c r="D88" s="14" t="s">
        <v>88</v>
      </c>
      <c r="E88" s="14">
        <v>2024</v>
      </c>
      <c r="F88" s="14" t="s">
        <v>89</v>
      </c>
      <c r="G88" s="17">
        <v>0.66400000000000003</v>
      </c>
      <c r="H88" s="15">
        <v>658</v>
      </c>
      <c r="I88" s="15">
        <v>437</v>
      </c>
      <c r="J88" s="15">
        <v>5504947</v>
      </c>
      <c r="K88" s="15">
        <v>1126537</v>
      </c>
      <c r="L88" s="15">
        <v>2626389</v>
      </c>
      <c r="M88" s="15">
        <v>6631484</v>
      </c>
      <c r="N88" s="14">
        <v>8369</v>
      </c>
      <c r="O88" s="16">
        <v>49.5</v>
      </c>
      <c r="P88" s="17">
        <v>0.30399999999999999</v>
      </c>
      <c r="Q88" s="17">
        <v>0.28299999999999997</v>
      </c>
      <c r="R88" s="15">
        <v>208.4</v>
      </c>
      <c r="S88" s="15">
        <v>526.29999999999995</v>
      </c>
    </row>
    <row r="89" spans="1:19" x14ac:dyDescent="0.3">
      <c r="A89" s="9" t="s">
        <v>103</v>
      </c>
      <c r="B89" s="9" t="s">
        <v>85</v>
      </c>
      <c r="C89" s="9">
        <v>420</v>
      </c>
      <c r="D89" s="9" t="s">
        <v>90</v>
      </c>
      <c r="E89" s="9">
        <v>2024</v>
      </c>
      <c r="F89" s="9" t="s">
        <v>89</v>
      </c>
      <c r="G89" s="18">
        <v>0.97</v>
      </c>
      <c r="H89" s="11">
        <v>1069</v>
      </c>
      <c r="I89" s="11">
        <v>1037</v>
      </c>
      <c r="J89" s="11">
        <v>13063573</v>
      </c>
      <c r="K89" s="11">
        <v>3084890</v>
      </c>
      <c r="L89" s="11">
        <v>5393394</v>
      </c>
      <c r="M89" s="11">
        <v>16148463</v>
      </c>
      <c r="N89" s="9">
        <v>12222</v>
      </c>
      <c r="O89" s="12">
        <v>63.9</v>
      </c>
      <c r="P89" s="13">
        <v>0.35799999999999998</v>
      </c>
      <c r="Q89" s="13">
        <v>0.27600000000000002</v>
      </c>
      <c r="R89" s="11">
        <v>428</v>
      </c>
      <c r="S89" s="11">
        <v>1281.5999999999999</v>
      </c>
    </row>
    <row r="90" spans="1:19" x14ac:dyDescent="0.3">
      <c r="A90" s="14" t="s">
        <v>103</v>
      </c>
      <c r="B90" s="14" t="s">
        <v>85</v>
      </c>
      <c r="C90" s="14">
        <v>420</v>
      </c>
      <c r="D90" s="14" t="s">
        <v>91</v>
      </c>
      <c r="E90" s="14">
        <v>2024</v>
      </c>
      <c r="F90" s="14" t="s">
        <v>87</v>
      </c>
      <c r="G90" s="17">
        <v>0.65700000000000003</v>
      </c>
      <c r="H90" s="15">
        <v>714</v>
      </c>
      <c r="I90" s="15">
        <v>469</v>
      </c>
      <c r="J90" s="15">
        <v>5914734</v>
      </c>
      <c r="K90" s="15">
        <v>1720531</v>
      </c>
      <c r="L90" s="15">
        <v>2681333</v>
      </c>
      <c r="M90" s="15">
        <v>7635265</v>
      </c>
      <c r="N90" s="14">
        <v>8279</v>
      </c>
      <c r="O90" s="16">
        <v>54.9</v>
      </c>
      <c r="P90" s="17">
        <v>0.34300000000000003</v>
      </c>
      <c r="Q90" s="17">
        <v>0.29099999999999998</v>
      </c>
      <c r="R90" s="15">
        <v>212.8</v>
      </c>
      <c r="S90" s="15">
        <v>606</v>
      </c>
    </row>
    <row r="91" spans="1:19" x14ac:dyDescent="0.3">
      <c r="A91" s="9" t="s">
        <v>103</v>
      </c>
      <c r="B91" s="9" t="s">
        <v>85</v>
      </c>
      <c r="C91" s="9">
        <v>420</v>
      </c>
      <c r="D91" s="9" t="s">
        <v>92</v>
      </c>
      <c r="E91" s="9">
        <v>2024</v>
      </c>
      <c r="F91" s="9" t="s">
        <v>87</v>
      </c>
      <c r="G91" s="13">
        <v>0.69399999999999995</v>
      </c>
      <c r="H91" s="11">
        <v>676</v>
      </c>
      <c r="I91" s="11">
        <v>469</v>
      </c>
      <c r="J91" s="11">
        <v>5913134</v>
      </c>
      <c r="K91" s="11">
        <v>1303318</v>
      </c>
      <c r="L91" s="11">
        <v>2838608</v>
      </c>
      <c r="M91" s="11">
        <v>7216453</v>
      </c>
      <c r="N91" s="9">
        <v>8743</v>
      </c>
      <c r="O91" s="12">
        <v>56.9</v>
      </c>
      <c r="P91" s="13">
        <v>0.28699999999999998</v>
      </c>
      <c r="Q91" s="13">
        <v>0.29599999999999999</v>
      </c>
      <c r="R91" s="11">
        <v>225.3</v>
      </c>
      <c r="S91" s="11">
        <v>572.70000000000005</v>
      </c>
    </row>
    <row r="92" spans="1:19" x14ac:dyDescent="0.3">
      <c r="A92" s="14" t="s">
        <v>103</v>
      </c>
      <c r="B92" s="14" t="s">
        <v>85</v>
      </c>
      <c r="C92" s="14">
        <v>420</v>
      </c>
      <c r="D92" s="14" t="s">
        <v>93</v>
      </c>
      <c r="E92" s="14">
        <v>2024</v>
      </c>
      <c r="F92" s="14" t="s">
        <v>94</v>
      </c>
      <c r="G92" s="18">
        <v>0.97</v>
      </c>
      <c r="H92" s="15">
        <v>1243</v>
      </c>
      <c r="I92" s="15">
        <v>1205</v>
      </c>
      <c r="J92" s="15">
        <v>15187126</v>
      </c>
      <c r="K92" s="15">
        <v>4278570</v>
      </c>
      <c r="L92" s="15">
        <v>6516372</v>
      </c>
      <c r="M92" s="15">
        <v>19465695</v>
      </c>
      <c r="N92" s="14">
        <v>12222</v>
      </c>
      <c r="O92" s="16">
        <v>40.6</v>
      </c>
      <c r="P92" s="17">
        <v>0.308</v>
      </c>
      <c r="Q92" s="17">
        <v>0.27700000000000002</v>
      </c>
      <c r="R92" s="15">
        <v>517.20000000000005</v>
      </c>
      <c r="S92" s="15">
        <v>1544.9</v>
      </c>
    </row>
    <row r="93" spans="1:19" x14ac:dyDescent="0.3">
      <c r="A93" s="9" t="s">
        <v>103</v>
      </c>
      <c r="B93" s="9" t="s">
        <v>85</v>
      </c>
      <c r="C93" s="9">
        <v>420</v>
      </c>
      <c r="D93" s="9" t="s">
        <v>95</v>
      </c>
      <c r="E93" s="9">
        <v>2024</v>
      </c>
      <c r="F93" s="9" t="s">
        <v>94</v>
      </c>
      <c r="G93" s="18">
        <v>0.97</v>
      </c>
      <c r="H93" s="11">
        <v>1290</v>
      </c>
      <c r="I93" s="11">
        <v>1251</v>
      </c>
      <c r="J93" s="11">
        <v>15767181</v>
      </c>
      <c r="K93" s="11">
        <v>4684014</v>
      </c>
      <c r="L93" s="11">
        <v>7961282</v>
      </c>
      <c r="M93" s="11">
        <v>20451195</v>
      </c>
      <c r="N93" s="9">
        <v>12222</v>
      </c>
      <c r="O93" s="12">
        <v>60.6</v>
      </c>
      <c r="P93" s="13">
        <v>0.35399999999999998</v>
      </c>
      <c r="Q93" s="13">
        <v>0.28899999999999998</v>
      </c>
      <c r="R93" s="11">
        <v>631.79999999999995</v>
      </c>
      <c r="S93" s="11">
        <v>1623.1</v>
      </c>
    </row>
    <row r="94" spans="1:19" x14ac:dyDescent="0.3">
      <c r="A94" s="14" t="s">
        <v>103</v>
      </c>
      <c r="B94" s="14" t="s">
        <v>85</v>
      </c>
      <c r="C94" s="14">
        <v>420</v>
      </c>
      <c r="D94" s="14" t="s">
        <v>96</v>
      </c>
      <c r="E94" s="14">
        <v>2024</v>
      </c>
      <c r="F94" s="14" t="s">
        <v>87</v>
      </c>
      <c r="G94" s="17">
        <v>0.68500000000000005</v>
      </c>
      <c r="H94" s="15">
        <v>756</v>
      </c>
      <c r="I94" s="15">
        <v>518</v>
      </c>
      <c r="J94" s="15">
        <v>6527579</v>
      </c>
      <c r="K94" s="15">
        <v>1422779</v>
      </c>
      <c r="L94" s="15">
        <v>3183025</v>
      </c>
      <c r="M94" s="15">
        <v>7950359</v>
      </c>
      <c r="N94" s="14">
        <v>8631</v>
      </c>
      <c r="O94" s="16">
        <v>70.7</v>
      </c>
      <c r="P94" s="17">
        <v>0.30499999999999999</v>
      </c>
      <c r="Q94" s="17">
        <v>0.28999999999999998</v>
      </c>
      <c r="R94" s="15">
        <v>252.6</v>
      </c>
      <c r="S94" s="15">
        <v>631</v>
      </c>
    </row>
    <row r="95" spans="1:19" x14ac:dyDescent="0.3">
      <c r="A95" s="9" t="s">
        <v>103</v>
      </c>
      <c r="B95" s="9" t="s">
        <v>85</v>
      </c>
      <c r="C95" s="9">
        <v>420</v>
      </c>
      <c r="D95" s="9" t="s">
        <v>97</v>
      </c>
      <c r="E95" s="9">
        <v>2024</v>
      </c>
      <c r="F95" s="9" t="s">
        <v>87</v>
      </c>
      <c r="G95" s="13">
        <v>0.71299999999999997</v>
      </c>
      <c r="H95" s="11">
        <v>746</v>
      </c>
      <c r="I95" s="11">
        <v>532</v>
      </c>
      <c r="J95" s="11">
        <v>6696621</v>
      </c>
      <c r="K95" s="11">
        <v>1861396</v>
      </c>
      <c r="L95" s="11">
        <v>3235275</v>
      </c>
      <c r="M95" s="11">
        <v>8558017</v>
      </c>
      <c r="N95" s="9">
        <v>8980</v>
      </c>
      <c r="O95" s="12">
        <v>52.4</v>
      </c>
      <c r="P95" s="13">
        <v>0.30299999999999999</v>
      </c>
      <c r="Q95" s="13">
        <v>0.30499999999999999</v>
      </c>
      <c r="R95" s="11">
        <v>256.8</v>
      </c>
      <c r="S95" s="11">
        <v>679.2</v>
      </c>
    </row>
    <row r="96" spans="1:19" x14ac:dyDescent="0.3">
      <c r="A96" s="14" t="s">
        <v>103</v>
      </c>
      <c r="B96" s="14" t="s">
        <v>85</v>
      </c>
      <c r="C96" s="14">
        <v>420</v>
      </c>
      <c r="D96" s="14" t="s">
        <v>98</v>
      </c>
      <c r="E96" s="14">
        <v>2024</v>
      </c>
      <c r="F96" s="14" t="s">
        <v>87</v>
      </c>
      <c r="G96" s="17">
        <v>0.79300000000000004</v>
      </c>
      <c r="H96" s="15">
        <v>745</v>
      </c>
      <c r="I96" s="15">
        <v>591</v>
      </c>
      <c r="J96" s="15">
        <v>7439958</v>
      </c>
      <c r="K96" s="15">
        <v>1638826</v>
      </c>
      <c r="L96" s="15">
        <v>2926074</v>
      </c>
      <c r="M96" s="15">
        <v>9078784</v>
      </c>
      <c r="N96" s="14">
        <v>9988</v>
      </c>
      <c r="O96" s="16">
        <v>49.8</v>
      </c>
      <c r="P96" s="17">
        <v>0.30099999999999999</v>
      </c>
      <c r="Q96" s="17">
        <v>0.30499999999999999</v>
      </c>
      <c r="R96" s="15">
        <v>232.2</v>
      </c>
      <c r="S96" s="15">
        <v>720.5</v>
      </c>
    </row>
    <row r="97" spans="1:19" x14ac:dyDescent="0.3">
      <c r="A97" s="9" t="s">
        <v>103</v>
      </c>
      <c r="B97" s="9" t="s">
        <v>85</v>
      </c>
      <c r="C97" s="9">
        <v>420</v>
      </c>
      <c r="D97" s="9" t="s">
        <v>99</v>
      </c>
      <c r="E97" s="9">
        <v>2024</v>
      </c>
      <c r="F97" s="9" t="s">
        <v>87</v>
      </c>
      <c r="G97" s="13">
        <v>0.70799999999999996</v>
      </c>
      <c r="H97" s="11">
        <v>703</v>
      </c>
      <c r="I97" s="11">
        <v>497</v>
      </c>
      <c r="J97" s="11">
        <v>6264969</v>
      </c>
      <c r="K97" s="11">
        <v>1571178</v>
      </c>
      <c r="L97" s="11">
        <v>2491232</v>
      </c>
      <c r="M97" s="11">
        <v>7836148</v>
      </c>
      <c r="N97" s="9">
        <v>8916</v>
      </c>
      <c r="O97" s="12">
        <v>49</v>
      </c>
      <c r="P97" s="13">
        <v>0.28100000000000003</v>
      </c>
      <c r="Q97" s="13">
        <v>0.311</v>
      </c>
      <c r="R97" s="11">
        <v>197.7</v>
      </c>
      <c r="S97" s="11">
        <v>621.9</v>
      </c>
    </row>
    <row r="98" spans="1:19" x14ac:dyDescent="0.3">
      <c r="A98" s="14" t="s">
        <v>103</v>
      </c>
      <c r="B98" s="14" t="s">
        <v>85</v>
      </c>
      <c r="C98" s="14">
        <v>420</v>
      </c>
      <c r="D98" s="14" t="s">
        <v>100</v>
      </c>
      <c r="E98" s="14">
        <v>2024</v>
      </c>
      <c r="F98" s="14" t="s">
        <v>87</v>
      </c>
      <c r="G98" s="17">
        <v>0.76</v>
      </c>
      <c r="H98" s="15">
        <v>750</v>
      </c>
      <c r="I98" s="15">
        <v>570</v>
      </c>
      <c r="J98" s="15">
        <v>7184276</v>
      </c>
      <c r="K98" s="15">
        <v>2119676</v>
      </c>
      <c r="L98" s="15">
        <v>3200811</v>
      </c>
      <c r="M98" s="15">
        <v>9303953</v>
      </c>
      <c r="N98" s="14">
        <v>9575</v>
      </c>
      <c r="O98" s="16">
        <v>67.5</v>
      </c>
      <c r="P98" s="17">
        <v>0.35199999999999998</v>
      </c>
      <c r="Q98" s="17">
        <v>0.28499999999999998</v>
      </c>
      <c r="R98" s="15">
        <v>254</v>
      </c>
      <c r="S98" s="15">
        <v>738.4</v>
      </c>
    </row>
    <row r="99" spans="1:19" x14ac:dyDescent="0.3">
      <c r="A99" s="9" t="s">
        <v>104</v>
      </c>
      <c r="B99" s="9" t="s">
        <v>85</v>
      </c>
      <c r="C99" s="9">
        <v>350</v>
      </c>
      <c r="D99" s="9" t="s">
        <v>86</v>
      </c>
      <c r="E99" s="9">
        <v>2023</v>
      </c>
      <c r="F99" s="9" t="s">
        <v>87</v>
      </c>
      <c r="G99" s="10">
        <v>0.51100000000000001</v>
      </c>
      <c r="H99" s="11">
        <v>548</v>
      </c>
      <c r="I99" s="11">
        <v>280</v>
      </c>
      <c r="J99" s="11">
        <v>2935747</v>
      </c>
      <c r="K99" s="11">
        <v>791043</v>
      </c>
      <c r="L99" s="11">
        <v>1287544</v>
      </c>
      <c r="M99" s="11">
        <v>3726791</v>
      </c>
      <c r="N99" s="9">
        <v>5362</v>
      </c>
      <c r="O99" s="12">
        <v>73.3</v>
      </c>
      <c r="P99" s="13">
        <v>0.33700000000000002</v>
      </c>
      <c r="Q99" s="13">
        <v>0.3</v>
      </c>
      <c r="R99" s="11">
        <v>122.6</v>
      </c>
      <c r="S99" s="11">
        <v>354.9</v>
      </c>
    </row>
    <row r="100" spans="1:19" x14ac:dyDescent="0.3">
      <c r="A100" s="14" t="s">
        <v>104</v>
      </c>
      <c r="B100" s="14" t="s">
        <v>85</v>
      </c>
      <c r="C100" s="14">
        <v>350</v>
      </c>
      <c r="D100" s="14" t="s">
        <v>88</v>
      </c>
      <c r="E100" s="14">
        <v>2023</v>
      </c>
      <c r="F100" s="14" t="s">
        <v>89</v>
      </c>
      <c r="G100" s="10">
        <v>0.58099999999999996</v>
      </c>
      <c r="H100" s="15">
        <v>581</v>
      </c>
      <c r="I100" s="15">
        <v>338</v>
      </c>
      <c r="J100" s="15">
        <v>3549882</v>
      </c>
      <c r="K100" s="15">
        <v>957666</v>
      </c>
      <c r="L100" s="15">
        <v>1475384</v>
      </c>
      <c r="M100" s="15">
        <v>4507549</v>
      </c>
      <c r="N100" s="14">
        <v>6105</v>
      </c>
      <c r="O100" s="16">
        <v>54.3</v>
      </c>
      <c r="P100" s="17">
        <v>0.33600000000000002</v>
      </c>
      <c r="Q100" s="17">
        <v>0.27600000000000002</v>
      </c>
      <c r="R100" s="15">
        <v>140.5</v>
      </c>
      <c r="S100" s="15">
        <v>429.3</v>
      </c>
    </row>
    <row r="101" spans="1:19" x14ac:dyDescent="0.3">
      <c r="A101" s="9" t="s">
        <v>104</v>
      </c>
      <c r="B101" s="9" t="s">
        <v>85</v>
      </c>
      <c r="C101" s="9">
        <v>350</v>
      </c>
      <c r="D101" s="9" t="s">
        <v>90</v>
      </c>
      <c r="E101" s="9">
        <v>2023</v>
      </c>
      <c r="F101" s="9" t="s">
        <v>89</v>
      </c>
      <c r="G101" s="13">
        <v>0.84299999999999997</v>
      </c>
      <c r="H101" s="11">
        <v>884</v>
      </c>
      <c r="I101" s="11">
        <v>745</v>
      </c>
      <c r="J101" s="11">
        <v>7818780</v>
      </c>
      <c r="K101" s="11">
        <v>2231579</v>
      </c>
      <c r="L101" s="11">
        <v>3882320</v>
      </c>
      <c r="M101" s="11">
        <v>10050358</v>
      </c>
      <c r="N101" s="9">
        <v>8846</v>
      </c>
      <c r="O101" s="12">
        <v>74</v>
      </c>
      <c r="P101" s="13">
        <v>0.29099999999999998</v>
      </c>
      <c r="Q101" s="13">
        <v>0.312</v>
      </c>
      <c r="R101" s="11">
        <v>369.7</v>
      </c>
      <c r="S101" s="11">
        <v>957.2</v>
      </c>
    </row>
    <row r="102" spans="1:19" x14ac:dyDescent="0.3">
      <c r="A102" s="14" t="s">
        <v>104</v>
      </c>
      <c r="B102" s="14" t="s">
        <v>85</v>
      </c>
      <c r="C102" s="14">
        <v>350</v>
      </c>
      <c r="D102" s="14" t="s">
        <v>91</v>
      </c>
      <c r="E102" s="14">
        <v>2023</v>
      </c>
      <c r="F102" s="14" t="s">
        <v>87</v>
      </c>
      <c r="G102" s="10">
        <v>0.57599999999999996</v>
      </c>
      <c r="H102" s="15">
        <v>555</v>
      </c>
      <c r="I102" s="15">
        <v>319</v>
      </c>
      <c r="J102" s="15">
        <v>3352363</v>
      </c>
      <c r="K102" s="15">
        <v>972084</v>
      </c>
      <c r="L102" s="15">
        <v>1680245</v>
      </c>
      <c r="M102" s="15">
        <v>4324446</v>
      </c>
      <c r="N102" s="14">
        <v>6043</v>
      </c>
      <c r="O102" s="16">
        <v>56.6</v>
      </c>
      <c r="P102" s="17">
        <v>0.315</v>
      </c>
      <c r="Q102" s="17">
        <v>0.29199999999999998</v>
      </c>
      <c r="R102" s="15">
        <v>160</v>
      </c>
      <c r="S102" s="15">
        <v>411.9</v>
      </c>
    </row>
    <row r="103" spans="1:19" x14ac:dyDescent="0.3">
      <c r="A103" s="9" t="s">
        <v>104</v>
      </c>
      <c r="B103" s="9" t="s">
        <v>85</v>
      </c>
      <c r="C103" s="9">
        <v>350</v>
      </c>
      <c r="D103" s="9" t="s">
        <v>92</v>
      </c>
      <c r="E103" s="9">
        <v>2023</v>
      </c>
      <c r="F103" s="9" t="s">
        <v>87</v>
      </c>
      <c r="G103" s="10">
        <v>0.56999999999999995</v>
      </c>
      <c r="H103" s="11">
        <v>554</v>
      </c>
      <c r="I103" s="11">
        <v>316</v>
      </c>
      <c r="J103" s="11">
        <v>3319121</v>
      </c>
      <c r="K103" s="11">
        <v>916847</v>
      </c>
      <c r="L103" s="11">
        <v>1733285</v>
      </c>
      <c r="M103" s="11">
        <v>4235967</v>
      </c>
      <c r="N103" s="9">
        <v>5988</v>
      </c>
      <c r="O103" s="12">
        <v>64.3</v>
      </c>
      <c r="P103" s="13">
        <v>0.33300000000000002</v>
      </c>
      <c r="Q103" s="13">
        <v>0.29499999999999998</v>
      </c>
      <c r="R103" s="11">
        <v>165.1</v>
      </c>
      <c r="S103" s="11">
        <v>403.4</v>
      </c>
    </row>
    <row r="104" spans="1:19" x14ac:dyDescent="0.3">
      <c r="A104" s="14" t="s">
        <v>104</v>
      </c>
      <c r="B104" s="14" t="s">
        <v>85</v>
      </c>
      <c r="C104" s="14">
        <v>350</v>
      </c>
      <c r="D104" s="14" t="s">
        <v>93</v>
      </c>
      <c r="E104" s="14">
        <v>2023</v>
      </c>
      <c r="F104" s="14" t="s">
        <v>94</v>
      </c>
      <c r="G104" s="18">
        <v>0.97</v>
      </c>
      <c r="H104" s="15">
        <v>1116</v>
      </c>
      <c r="I104" s="15">
        <v>1083</v>
      </c>
      <c r="J104" s="15">
        <v>11369395</v>
      </c>
      <c r="K104" s="15">
        <v>3088795</v>
      </c>
      <c r="L104" s="15">
        <v>4410868</v>
      </c>
      <c r="M104" s="15">
        <v>14458190</v>
      </c>
      <c r="N104" s="14">
        <v>10185</v>
      </c>
      <c r="O104" s="16">
        <v>61.2</v>
      </c>
      <c r="P104" s="17">
        <v>0.35899999999999999</v>
      </c>
      <c r="Q104" s="17">
        <v>0.27700000000000002</v>
      </c>
      <c r="R104" s="15">
        <v>420.1</v>
      </c>
      <c r="S104" s="15">
        <v>1377</v>
      </c>
    </row>
    <row r="105" spans="1:19" x14ac:dyDescent="0.3">
      <c r="A105" s="9" t="s">
        <v>104</v>
      </c>
      <c r="B105" s="9" t="s">
        <v>85</v>
      </c>
      <c r="C105" s="9">
        <v>350</v>
      </c>
      <c r="D105" s="9" t="s">
        <v>95</v>
      </c>
      <c r="E105" s="9">
        <v>2023</v>
      </c>
      <c r="F105" s="9" t="s">
        <v>94</v>
      </c>
      <c r="G105" s="18">
        <v>0.97</v>
      </c>
      <c r="H105" s="11">
        <v>1092</v>
      </c>
      <c r="I105" s="11">
        <v>1059</v>
      </c>
      <c r="J105" s="11">
        <v>11120502</v>
      </c>
      <c r="K105" s="11">
        <v>2993539</v>
      </c>
      <c r="L105" s="11">
        <v>5184201</v>
      </c>
      <c r="M105" s="11">
        <v>14114041</v>
      </c>
      <c r="N105" s="9">
        <v>10185</v>
      </c>
      <c r="O105" s="12">
        <v>58.5</v>
      </c>
      <c r="P105" s="13">
        <v>0.34499999999999997</v>
      </c>
      <c r="Q105" s="13">
        <v>0.314</v>
      </c>
      <c r="R105" s="11">
        <v>493.7</v>
      </c>
      <c r="S105" s="11">
        <v>1344.2</v>
      </c>
    </row>
    <row r="106" spans="1:19" x14ac:dyDescent="0.3">
      <c r="A106" s="14" t="s">
        <v>104</v>
      </c>
      <c r="B106" s="14" t="s">
        <v>85</v>
      </c>
      <c r="C106" s="14">
        <v>350</v>
      </c>
      <c r="D106" s="14" t="s">
        <v>96</v>
      </c>
      <c r="E106" s="14">
        <v>2023</v>
      </c>
      <c r="F106" s="14" t="s">
        <v>87</v>
      </c>
      <c r="G106" s="17">
        <v>0.61299999999999999</v>
      </c>
      <c r="H106" s="15">
        <v>604</v>
      </c>
      <c r="I106" s="15">
        <v>370</v>
      </c>
      <c r="J106" s="15">
        <v>3889154</v>
      </c>
      <c r="K106" s="15">
        <v>1149627</v>
      </c>
      <c r="L106" s="15">
        <v>2036862</v>
      </c>
      <c r="M106" s="15">
        <v>5038782</v>
      </c>
      <c r="N106" s="14">
        <v>6434</v>
      </c>
      <c r="O106" s="16">
        <v>73.900000000000006</v>
      </c>
      <c r="P106" s="17">
        <v>0.29099999999999998</v>
      </c>
      <c r="Q106" s="17">
        <v>0.29299999999999998</v>
      </c>
      <c r="R106" s="15">
        <v>194</v>
      </c>
      <c r="S106" s="15">
        <v>479.9</v>
      </c>
    </row>
    <row r="107" spans="1:19" x14ac:dyDescent="0.3">
      <c r="A107" s="9" t="s">
        <v>104</v>
      </c>
      <c r="B107" s="9" t="s">
        <v>85</v>
      </c>
      <c r="C107" s="9">
        <v>350</v>
      </c>
      <c r="D107" s="9" t="s">
        <v>97</v>
      </c>
      <c r="E107" s="9">
        <v>2023</v>
      </c>
      <c r="F107" s="9" t="s">
        <v>87</v>
      </c>
      <c r="G107" s="10">
        <v>0.59399999999999997</v>
      </c>
      <c r="H107" s="11">
        <v>614</v>
      </c>
      <c r="I107" s="11">
        <v>365</v>
      </c>
      <c r="J107" s="11">
        <v>3830322</v>
      </c>
      <c r="K107" s="11">
        <v>976131</v>
      </c>
      <c r="L107" s="11">
        <v>1725369</v>
      </c>
      <c r="M107" s="11">
        <v>4806453</v>
      </c>
      <c r="N107" s="9">
        <v>6235</v>
      </c>
      <c r="O107" s="12">
        <v>64</v>
      </c>
      <c r="P107" s="13">
        <v>0.35599999999999998</v>
      </c>
      <c r="Q107" s="13">
        <v>0.30299999999999999</v>
      </c>
      <c r="R107" s="11">
        <v>164.3</v>
      </c>
      <c r="S107" s="11">
        <v>457.8</v>
      </c>
    </row>
    <row r="108" spans="1:19" x14ac:dyDescent="0.3">
      <c r="A108" s="14" t="s">
        <v>104</v>
      </c>
      <c r="B108" s="14" t="s">
        <v>85</v>
      </c>
      <c r="C108" s="14">
        <v>350</v>
      </c>
      <c r="D108" s="14" t="s">
        <v>98</v>
      </c>
      <c r="E108" s="14">
        <v>2023</v>
      </c>
      <c r="F108" s="14" t="s">
        <v>87</v>
      </c>
      <c r="G108" s="17">
        <v>0.65500000000000003</v>
      </c>
      <c r="H108" s="15">
        <v>628</v>
      </c>
      <c r="I108" s="15">
        <v>411</v>
      </c>
      <c r="J108" s="15">
        <v>4317683</v>
      </c>
      <c r="K108" s="15">
        <v>1063077</v>
      </c>
      <c r="L108" s="15">
        <v>1917057</v>
      </c>
      <c r="M108" s="15">
        <v>5380760</v>
      </c>
      <c r="N108" s="14">
        <v>6879</v>
      </c>
      <c r="O108" s="16">
        <v>68.3</v>
      </c>
      <c r="P108" s="17">
        <v>0.34100000000000003</v>
      </c>
      <c r="Q108" s="17">
        <v>0.28000000000000003</v>
      </c>
      <c r="R108" s="15">
        <v>182.6</v>
      </c>
      <c r="S108" s="15">
        <v>512.5</v>
      </c>
    </row>
    <row r="109" spans="1:19" x14ac:dyDescent="0.3">
      <c r="A109" s="9" t="s">
        <v>104</v>
      </c>
      <c r="B109" s="9" t="s">
        <v>85</v>
      </c>
      <c r="C109" s="9">
        <v>350</v>
      </c>
      <c r="D109" s="9" t="s">
        <v>99</v>
      </c>
      <c r="E109" s="9">
        <v>2023</v>
      </c>
      <c r="F109" s="9" t="s">
        <v>87</v>
      </c>
      <c r="G109" s="10">
        <v>0.58099999999999996</v>
      </c>
      <c r="H109" s="11">
        <v>587</v>
      </c>
      <c r="I109" s="11">
        <v>341</v>
      </c>
      <c r="J109" s="11">
        <v>3578718</v>
      </c>
      <c r="K109" s="11">
        <v>853726</v>
      </c>
      <c r="L109" s="11">
        <v>1770761</v>
      </c>
      <c r="M109" s="11">
        <v>4432445</v>
      </c>
      <c r="N109" s="9">
        <v>6100</v>
      </c>
      <c r="O109" s="12">
        <v>60.8</v>
      </c>
      <c r="P109" s="13">
        <v>0.28000000000000003</v>
      </c>
      <c r="Q109" s="13">
        <v>0.32800000000000001</v>
      </c>
      <c r="R109" s="11">
        <v>168.6</v>
      </c>
      <c r="S109" s="11">
        <v>422.1</v>
      </c>
    </row>
    <row r="110" spans="1:19" x14ac:dyDescent="0.3">
      <c r="A110" s="14" t="s">
        <v>104</v>
      </c>
      <c r="B110" s="14" t="s">
        <v>85</v>
      </c>
      <c r="C110" s="14">
        <v>350</v>
      </c>
      <c r="D110" s="14" t="s">
        <v>100</v>
      </c>
      <c r="E110" s="14">
        <v>2023</v>
      </c>
      <c r="F110" s="14" t="s">
        <v>87</v>
      </c>
      <c r="G110" s="17">
        <v>0.63700000000000001</v>
      </c>
      <c r="H110" s="15">
        <v>671</v>
      </c>
      <c r="I110" s="15">
        <v>427</v>
      </c>
      <c r="J110" s="15">
        <v>4484951</v>
      </c>
      <c r="K110" s="15">
        <v>1050661</v>
      </c>
      <c r="L110" s="15">
        <v>1857739</v>
      </c>
      <c r="M110" s="15">
        <v>5535613</v>
      </c>
      <c r="N110" s="14">
        <v>6685</v>
      </c>
      <c r="O110" s="16">
        <v>61</v>
      </c>
      <c r="P110" s="17">
        <v>0.33100000000000002</v>
      </c>
      <c r="Q110" s="17">
        <v>0.27200000000000002</v>
      </c>
      <c r="R110" s="15">
        <v>176.9</v>
      </c>
      <c r="S110" s="15">
        <v>527.20000000000005</v>
      </c>
    </row>
    <row r="111" spans="1:19" x14ac:dyDescent="0.3">
      <c r="A111" s="9" t="s">
        <v>104</v>
      </c>
      <c r="B111" s="9" t="s">
        <v>85</v>
      </c>
      <c r="C111" s="9">
        <v>350</v>
      </c>
      <c r="D111" s="9" t="s">
        <v>86</v>
      </c>
      <c r="E111" s="9">
        <v>2024</v>
      </c>
      <c r="F111" s="9" t="s">
        <v>87</v>
      </c>
      <c r="G111" s="10">
        <v>0.58499999999999996</v>
      </c>
      <c r="H111" s="11">
        <v>553</v>
      </c>
      <c r="I111" s="11">
        <v>324</v>
      </c>
      <c r="J111" s="11">
        <v>3399180</v>
      </c>
      <c r="K111" s="11">
        <v>965828</v>
      </c>
      <c r="L111" s="11">
        <v>1743921</v>
      </c>
      <c r="M111" s="11">
        <v>4365008</v>
      </c>
      <c r="N111" s="9">
        <v>6147</v>
      </c>
      <c r="O111" s="12">
        <v>59.5</v>
      </c>
      <c r="P111" s="13">
        <v>0.33900000000000002</v>
      </c>
      <c r="Q111" s="13">
        <v>0.30099999999999999</v>
      </c>
      <c r="R111" s="11">
        <v>166.1</v>
      </c>
      <c r="S111" s="11">
        <v>415.7</v>
      </c>
    </row>
    <row r="112" spans="1:19" x14ac:dyDescent="0.3">
      <c r="A112" s="14" t="s">
        <v>104</v>
      </c>
      <c r="B112" s="14" t="s">
        <v>85</v>
      </c>
      <c r="C112" s="14">
        <v>350</v>
      </c>
      <c r="D112" s="14" t="s">
        <v>88</v>
      </c>
      <c r="E112" s="14">
        <v>2024</v>
      </c>
      <c r="F112" s="14" t="s">
        <v>89</v>
      </c>
      <c r="G112" s="17">
        <v>0.64400000000000002</v>
      </c>
      <c r="H112" s="15">
        <v>630</v>
      </c>
      <c r="I112" s="15">
        <v>406</v>
      </c>
      <c r="J112" s="15">
        <v>4257968</v>
      </c>
      <c r="K112" s="15">
        <v>1115285</v>
      </c>
      <c r="L112" s="15">
        <v>2165216</v>
      </c>
      <c r="M112" s="15">
        <v>5373253</v>
      </c>
      <c r="N112" s="14">
        <v>6760</v>
      </c>
      <c r="O112" s="16">
        <v>71.7</v>
      </c>
      <c r="P112" s="17">
        <v>0.34300000000000003</v>
      </c>
      <c r="Q112" s="17">
        <v>0.28199999999999997</v>
      </c>
      <c r="R112" s="15">
        <v>206.2</v>
      </c>
      <c r="S112" s="15">
        <v>511.7</v>
      </c>
    </row>
    <row r="113" spans="1:19" x14ac:dyDescent="0.3">
      <c r="A113" s="9" t="s">
        <v>104</v>
      </c>
      <c r="B113" s="9" t="s">
        <v>85</v>
      </c>
      <c r="C113" s="9">
        <v>350</v>
      </c>
      <c r="D113" s="9" t="s">
        <v>90</v>
      </c>
      <c r="E113" s="9">
        <v>2024</v>
      </c>
      <c r="F113" s="9" t="s">
        <v>89</v>
      </c>
      <c r="G113" s="18">
        <v>0.97</v>
      </c>
      <c r="H113" s="11">
        <v>947</v>
      </c>
      <c r="I113" s="11">
        <v>919</v>
      </c>
      <c r="J113" s="11">
        <v>9650071</v>
      </c>
      <c r="K113" s="11">
        <v>2722517</v>
      </c>
      <c r="L113" s="11">
        <v>3872483</v>
      </c>
      <c r="M113" s="11">
        <v>12372588</v>
      </c>
      <c r="N113" s="9">
        <v>10185</v>
      </c>
      <c r="O113" s="12">
        <v>66.5</v>
      </c>
      <c r="P113" s="13">
        <v>0.34</v>
      </c>
      <c r="Q113" s="13">
        <v>0.27600000000000002</v>
      </c>
      <c r="R113" s="11">
        <v>368.8</v>
      </c>
      <c r="S113" s="11">
        <v>1178.3</v>
      </c>
    </row>
    <row r="114" spans="1:19" x14ac:dyDescent="0.3">
      <c r="A114" s="14" t="s">
        <v>104</v>
      </c>
      <c r="B114" s="14" t="s">
        <v>85</v>
      </c>
      <c r="C114" s="14">
        <v>350</v>
      </c>
      <c r="D114" s="14" t="s">
        <v>91</v>
      </c>
      <c r="E114" s="14">
        <v>2024</v>
      </c>
      <c r="F114" s="14" t="s">
        <v>87</v>
      </c>
      <c r="G114" s="17">
        <v>0.64800000000000002</v>
      </c>
      <c r="H114" s="15">
        <v>639</v>
      </c>
      <c r="I114" s="15">
        <v>414</v>
      </c>
      <c r="J114" s="15">
        <v>4348565</v>
      </c>
      <c r="K114" s="15">
        <v>908298</v>
      </c>
      <c r="L114" s="15">
        <v>1769106</v>
      </c>
      <c r="M114" s="15">
        <v>5256863</v>
      </c>
      <c r="N114" s="14">
        <v>6803</v>
      </c>
      <c r="O114" s="16">
        <v>73.2</v>
      </c>
      <c r="P114" s="17">
        <v>0.34300000000000003</v>
      </c>
      <c r="Q114" s="17">
        <v>0.28699999999999998</v>
      </c>
      <c r="R114" s="15">
        <v>168.5</v>
      </c>
      <c r="S114" s="15">
        <v>500.7</v>
      </c>
    </row>
    <row r="115" spans="1:19" x14ac:dyDescent="0.3">
      <c r="A115" s="9" t="s">
        <v>104</v>
      </c>
      <c r="B115" s="9" t="s">
        <v>85</v>
      </c>
      <c r="C115" s="9">
        <v>350</v>
      </c>
      <c r="D115" s="9" t="s">
        <v>92</v>
      </c>
      <c r="E115" s="9">
        <v>2024</v>
      </c>
      <c r="F115" s="9" t="s">
        <v>87</v>
      </c>
      <c r="G115" s="13">
        <v>0.61299999999999999</v>
      </c>
      <c r="H115" s="11">
        <v>613</v>
      </c>
      <c r="I115" s="11">
        <v>376</v>
      </c>
      <c r="J115" s="11">
        <v>3948759</v>
      </c>
      <c r="K115" s="11">
        <v>793920</v>
      </c>
      <c r="L115" s="11">
        <v>1667065</v>
      </c>
      <c r="M115" s="11">
        <v>4742679</v>
      </c>
      <c r="N115" s="9">
        <v>6440</v>
      </c>
      <c r="O115" s="12">
        <v>64.7</v>
      </c>
      <c r="P115" s="13">
        <v>0.35899999999999999</v>
      </c>
      <c r="Q115" s="13">
        <v>0.33</v>
      </c>
      <c r="R115" s="11">
        <v>158.80000000000001</v>
      </c>
      <c r="S115" s="11">
        <v>451.7</v>
      </c>
    </row>
    <row r="116" spans="1:19" x14ac:dyDescent="0.3">
      <c r="A116" s="14" t="s">
        <v>104</v>
      </c>
      <c r="B116" s="14" t="s">
        <v>85</v>
      </c>
      <c r="C116" s="14">
        <v>350</v>
      </c>
      <c r="D116" s="14" t="s">
        <v>93</v>
      </c>
      <c r="E116" s="14">
        <v>2024</v>
      </c>
      <c r="F116" s="14" t="s">
        <v>94</v>
      </c>
      <c r="G116" s="18">
        <v>0.97</v>
      </c>
      <c r="H116" s="15">
        <v>1188</v>
      </c>
      <c r="I116" s="15">
        <v>1152</v>
      </c>
      <c r="J116" s="15">
        <v>12094731</v>
      </c>
      <c r="K116" s="15">
        <v>3560061</v>
      </c>
      <c r="L116" s="15">
        <v>5559393</v>
      </c>
      <c r="M116" s="15">
        <v>15654792</v>
      </c>
      <c r="N116" s="14">
        <v>10185</v>
      </c>
      <c r="O116" s="16">
        <v>41</v>
      </c>
      <c r="P116" s="17">
        <v>0.29099999999999998</v>
      </c>
      <c r="Q116" s="17">
        <v>0.29099999999999998</v>
      </c>
      <c r="R116" s="15">
        <v>529.5</v>
      </c>
      <c r="S116" s="15">
        <v>1490.9</v>
      </c>
    </row>
    <row r="117" spans="1:19" x14ac:dyDescent="0.3">
      <c r="A117" s="9" t="s">
        <v>104</v>
      </c>
      <c r="B117" s="9" t="s">
        <v>85</v>
      </c>
      <c r="C117" s="9">
        <v>350</v>
      </c>
      <c r="D117" s="9" t="s">
        <v>95</v>
      </c>
      <c r="E117" s="9">
        <v>2024</v>
      </c>
      <c r="F117" s="9" t="s">
        <v>94</v>
      </c>
      <c r="G117" s="18">
        <v>0.97</v>
      </c>
      <c r="H117" s="11">
        <v>1139</v>
      </c>
      <c r="I117" s="11">
        <v>1105</v>
      </c>
      <c r="J117" s="11">
        <v>11604929</v>
      </c>
      <c r="K117" s="11">
        <v>2893754</v>
      </c>
      <c r="L117" s="11">
        <v>6052232</v>
      </c>
      <c r="M117" s="11">
        <v>14498683</v>
      </c>
      <c r="N117" s="9">
        <v>10185</v>
      </c>
      <c r="O117" s="12">
        <v>57.7</v>
      </c>
      <c r="P117" s="13">
        <v>0.28699999999999998</v>
      </c>
      <c r="Q117" s="13">
        <v>0.28799999999999998</v>
      </c>
      <c r="R117" s="11">
        <v>576.4</v>
      </c>
      <c r="S117" s="11">
        <v>1380.8</v>
      </c>
    </row>
    <row r="118" spans="1:19" x14ac:dyDescent="0.3">
      <c r="A118" s="14" t="s">
        <v>104</v>
      </c>
      <c r="B118" s="14" t="s">
        <v>85</v>
      </c>
      <c r="C118" s="14">
        <v>350</v>
      </c>
      <c r="D118" s="14" t="s">
        <v>96</v>
      </c>
      <c r="E118" s="14">
        <v>2024</v>
      </c>
      <c r="F118" s="14" t="s">
        <v>87</v>
      </c>
      <c r="G118" s="17">
        <v>0.69499999999999995</v>
      </c>
      <c r="H118" s="15">
        <v>663</v>
      </c>
      <c r="I118" s="15">
        <v>461</v>
      </c>
      <c r="J118" s="15">
        <v>4841711</v>
      </c>
      <c r="K118" s="15">
        <v>1014051</v>
      </c>
      <c r="L118" s="15">
        <v>2409014</v>
      </c>
      <c r="M118" s="15">
        <v>5855763</v>
      </c>
      <c r="N118" s="14">
        <v>7301</v>
      </c>
      <c r="O118" s="16">
        <v>70</v>
      </c>
      <c r="P118" s="17">
        <v>0.32300000000000001</v>
      </c>
      <c r="Q118" s="17">
        <v>0.27800000000000002</v>
      </c>
      <c r="R118" s="15">
        <v>229.4</v>
      </c>
      <c r="S118" s="15">
        <v>557.70000000000005</v>
      </c>
    </row>
    <row r="119" spans="1:19" x14ac:dyDescent="0.3">
      <c r="A119" s="9" t="s">
        <v>104</v>
      </c>
      <c r="B119" s="9" t="s">
        <v>85</v>
      </c>
      <c r="C119" s="9">
        <v>350</v>
      </c>
      <c r="D119" s="9" t="s">
        <v>97</v>
      </c>
      <c r="E119" s="9">
        <v>2024</v>
      </c>
      <c r="F119" s="9" t="s">
        <v>87</v>
      </c>
      <c r="G119" s="13">
        <v>0.67200000000000004</v>
      </c>
      <c r="H119" s="11">
        <v>660</v>
      </c>
      <c r="I119" s="11">
        <v>443</v>
      </c>
      <c r="J119" s="11">
        <v>4654652</v>
      </c>
      <c r="K119" s="11">
        <v>1257971</v>
      </c>
      <c r="L119" s="11">
        <v>1800712</v>
      </c>
      <c r="M119" s="11">
        <v>5912623</v>
      </c>
      <c r="N119" s="9">
        <v>7056</v>
      </c>
      <c r="O119" s="12">
        <v>55</v>
      </c>
      <c r="P119" s="13">
        <v>0.32300000000000001</v>
      </c>
      <c r="Q119" s="13">
        <v>0.32700000000000001</v>
      </c>
      <c r="R119" s="11">
        <v>171.5</v>
      </c>
      <c r="S119" s="11">
        <v>563.1</v>
      </c>
    </row>
    <row r="120" spans="1:19" x14ac:dyDescent="0.3">
      <c r="A120" s="14" t="s">
        <v>104</v>
      </c>
      <c r="B120" s="14" t="s">
        <v>85</v>
      </c>
      <c r="C120" s="14">
        <v>350</v>
      </c>
      <c r="D120" s="14" t="s">
        <v>98</v>
      </c>
      <c r="E120" s="14">
        <v>2024</v>
      </c>
      <c r="F120" s="14" t="s">
        <v>87</v>
      </c>
      <c r="G120" s="17">
        <v>0.68500000000000005</v>
      </c>
      <c r="H120" s="15">
        <v>688</v>
      </c>
      <c r="I120" s="15">
        <v>471</v>
      </c>
      <c r="J120" s="15">
        <v>4946045</v>
      </c>
      <c r="K120" s="15">
        <v>1466175</v>
      </c>
      <c r="L120" s="15">
        <v>2386840</v>
      </c>
      <c r="M120" s="15">
        <v>6412220</v>
      </c>
      <c r="N120" s="14">
        <v>7189</v>
      </c>
      <c r="O120" s="16">
        <v>49.5</v>
      </c>
      <c r="P120" s="17">
        <v>0.318</v>
      </c>
      <c r="Q120" s="17">
        <v>0.32900000000000001</v>
      </c>
      <c r="R120" s="15">
        <v>227.3</v>
      </c>
      <c r="S120" s="15">
        <v>610.70000000000005</v>
      </c>
    </row>
    <row r="121" spans="1:19" x14ac:dyDescent="0.3">
      <c r="A121" s="9" t="s">
        <v>104</v>
      </c>
      <c r="B121" s="9" t="s">
        <v>85</v>
      </c>
      <c r="C121" s="9">
        <v>350</v>
      </c>
      <c r="D121" s="9" t="s">
        <v>99</v>
      </c>
      <c r="E121" s="9">
        <v>2024</v>
      </c>
      <c r="F121" s="9" t="s">
        <v>87</v>
      </c>
      <c r="G121" s="13">
        <v>0.65300000000000002</v>
      </c>
      <c r="H121" s="11">
        <v>662</v>
      </c>
      <c r="I121" s="11">
        <v>433</v>
      </c>
      <c r="J121" s="11">
        <v>4541059</v>
      </c>
      <c r="K121" s="11">
        <v>971284</v>
      </c>
      <c r="L121" s="11">
        <v>2226675</v>
      </c>
      <c r="M121" s="11">
        <v>5512343</v>
      </c>
      <c r="N121" s="9">
        <v>6861</v>
      </c>
      <c r="O121" s="12">
        <v>71.5</v>
      </c>
      <c r="P121" s="13">
        <v>0.30199999999999999</v>
      </c>
      <c r="Q121" s="13">
        <v>0.28999999999999998</v>
      </c>
      <c r="R121" s="11">
        <v>212.1</v>
      </c>
      <c r="S121" s="11">
        <v>525</v>
      </c>
    </row>
    <row r="122" spans="1:19" x14ac:dyDescent="0.3">
      <c r="A122" s="14" t="s">
        <v>104</v>
      </c>
      <c r="B122" s="14" t="s">
        <v>85</v>
      </c>
      <c r="C122" s="14">
        <v>350</v>
      </c>
      <c r="D122" s="14" t="s">
        <v>100</v>
      </c>
      <c r="E122" s="14">
        <v>2024</v>
      </c>
      <c r="F122" s="14" t="s">
        <v>87</v>
      </c>
      <c r="G122" s="17">
        <v>0.69799999999999995</v>
      </c>
      <c r="H122" s="15">
        <v>715</v>
      </c>
      <c r="I122" s="15">
        <v>499</v>
      </c>
      <c r="J122" s="15">
        <v>5243250</v>
      </c>
      <c r="K122" s="15">
        <v>1147952</v>
      </c>
      <c r="L122" s="15">
        <v>2339473</v>
      </c>
      <c r="M122" s="15">
        <v>6391203</v>
      </c>
      <c r="N122" s="14">
        <v>7329</v>
      </c>
      <c r="O122" s="16">
        <v>71.2</v>
      </c>
      <c r="P122" s="17">
        <v>0.31</v>
      </c>
      <c r="Q122" s="17">
        <v>0.30099999999999999</v>
      </c>
      <c r="R122" s="15">
        <v>222.8</v>
      </c>
      <c r="S122" s="15">
        <v>608.70000000000005</v>
      </c>
    </row>
    <row r="123" spans="1:19" x14ac:dyDescent="0.3">
      <c r="A123" s="9" t="s">
        <v>105</v>
      </c>
      <c r="B123" s="9" t="s">
        <v>85</v>
      </c>
      <c r="C123" s="9">
        <v>300</v>
      </c>
      <c r="D123" s="9" t="s">
        <v>86</v>
      </c>
      <c r="E123" s="9">
        <v>2023</v>
      </c>
      <c r="F123" s="9" t="s">
        <v>87</v>
      </c>
      <c r="G123" s="10">
        <v>0.501</v>
      </c>
      <c r="H123" s="11">
        <v>488</v>
      </c>
      <c r="I123" s="11">
        <v>244</v>
      </c>
      <c r="J123" s="11">
        <v>2199950</v>
      </c>
      <c r="K123" s="11">
        <v>505970</v>
      </c>
      <c r="L123" s="11">
        <v>838855</v>
      </c>
      <c r="M123" s="11">
        <v>2705920</v>
      </c>
      <c r="N123" s="9">
        <v>4511</v>
      </c>
      <c r="O123" s="12">
        <v>72.599999999999994</v>
      </c>
      <c r="P123" s="13">
        <v>0.32200000000000001</v>
      </c>
      <c r="Q123" s="13">
        <v>0.33</v>
      </c>
      <c r="R123" s="11">
        <v>93.2</v>
      </c>
      <c r="S123" s="11">
        <v>300.7</v>
      </c>
    </row>
    <row r="124" spans="1:19" x14ac:dyDescent="0.3">
      <c r="A124" s="14" t="s">
        <v>105</v>
      </c>
      <c r="B124" s="14" t="s">
        <v>85</v>
      </c>
      <c r="C124" s="14">
        <v>300</v>
      </c>
      <c r="D124" s="14" t="s">
        <v>88</v>
      </c>
      <c r="E124" s="14">
        <v>2023</v>
      </c>
      <c r="F124" s="14" t="s">
        <v>89</v>
      </c>
      <c r="G124" s="10">
        <v>0.54200000000000004</v>
      </c>
      <c r="H124" s="15">
        <v>537</v>
      </c>
      <c r="I124" s="15">
        <v>291</v>
      </c>
      <c r="J124" s="15">
        <v>2620376</v>
      </c>
      <c r="K124" s="15">
        <v>589225</v>
      </c>
      <c r="L124" s="15">
        <v>1241212</v>
      </c>
      <c r="M124" s="15">
        <v>3209600</v>
      </c>
      <c r="N124" s="14">
        <v>4880</v>
      </c>
      <c r="O124" s="16">
        <v>53.8</v>
      </c>
      <c r="P124" s="17">
        <v>0.30499999999999999</v>
      </c>
      <c r="Q124" s="17">
        <v>0.30099999999999999</v>
      </c>
      <c r="R124" s="15">
        <v>137.9</v>
      </c>
      <c r="S124" s="15">
        <v>356.6</v>
      </c>
    </row>
    <row r="125" spans="1:19" x14ac:dyDescent="0.3">
      <c r="A125" s="9" t="s">
        <v>105</v>
      </c>
      <c r="B125" s="9" t="s">
        <v>85</v>
      </c>
      <c r="C125" s="9">
        <v>300</v>
      </c>
      <c r="D125" s="9" t="s">
        <v>90</v>
      </c>
      <c r="E125" s="9">
        <v>2023</v>
      </c>
      <c r="F125" s="9" t="s">
        <v>89</v>
      </c>
      <c r="G125" s="13">
        <v>0.80500000000000005</v>
      </c>
      <c r="H125" s="11">
        <v>757</v>
      </c>
      <c r="I125" s="11">
        <v>609</v>
      </c>
      <c r="J125" s="11">
        <v>5484843</v>
      </c>
      <c r="K125" s="11">
        <v>1183411</v>
      </c>
      <c r="L125" s="11">
        <v>2743599</v>
      </c>
      <c r="M125" s="11">
        <v>6668254</v>
      </c>
      <c r="N125" s="9">
        <v>7245</v>
      </c>
      <c r="O125" s="12">
        <v>50.3</v>
      </c>
      <c r="P125" s="13">
        <v>0.28699999999999998</v>
      </c>
      <c r="Q125" s="13">
        <v>0.28999999999999998</v>
      </c>
      <c r="R125" s="11">
        <v>304.8</v>
      </c>
      <c r="S125" s="11">
        <v>740.9</v>
      </c>
    </row>
    <row r="126" spans="1:19" x14ac:dyDescent="0.3">
      <c r="A126" s="14" t="s">
        <v>105</v>
      </c>
      <c r="B126" s="14" t="s">
        <v>85</v>
      </c>
      <c r="C126" s="14">
        <v>300</v>
      </c>
      <c r="D126" s="14" t="s">
        <v>91</v>
      </c>
      <c r="E126" s="14">
        <v>2023</v>
      </c>
      <c r="F126" s="14" t="s">
        <v>87</v>
      </c>
      <c r="G126" s="10">
        <v>0.59699999999999998</v>
      </c>
      <c r="H126" s="15">
        <v>532</v>
      </c>
      <c r="I126" s="15">
        <v>317</v>
      </c>
      <c r="J126" s="15">
        <v>2855465</v>
      </c>
      <c r="K126" s="15">
        <v>700281</v>
      </c>
      <c r="L126" s="15">
        <v>1256742</v>
      </c>
      <c r="M126" s="15">
        <v>3555747</v>
      </c>
      <c r="N126" s="14">
        <v>5369</v>
      </c>
      <c r="O126" s="16">
        <v>71.099999999999994</v>
      </c>
      <c r="P126" s="17">
        <v>0.34599999999999997</v>
      </c>
      <c r="Q126" s="17">
        <v>0.28299999999999997</v>
      </c>
      <c r="R126" s="15">
        <v>139.6</v>
      </c>
      <c r="S126" s="15">
        <v>395.1</v>
      </c>
    </row>
    <row r="127" spans="1:19" x14ac:dyDescent="0.3">
      <c r="A127" s="9" t="s">
        <v>105</v>
      </c>
      <c r="B127" s="9" t="s">
        <v>85</v>
      </c>
      <c r="C127" s="9">
        <v>300</v>
      </c>
      <c r="D127" s="9" t="s">
        <v>92</v>
      </c>
      <c r="E127" s="9">
        <v>2023</v>
      </c>
      <c r="F127" s="9" t="s">
        <v>87</v>
      </c>
      <c r="G127" s="10">
        <v>0.53800000000000003</v>
      </c>
      <c r="H127" s="11">
        <v>499</v>
      </c>
      <c r="I127" s="11">
        <v>268</v>
      </c>
      <c r="J127" s="11">
        <v>2412800</v>
      </c>
      <c r="K127" s="11">
        <v>522179</v>
      </c>
      <c r="L127" s="11">
        <v>1185459</v>
      </c>
      <c r="M127" s="11">
        <v>2934979</v>
      </c>
      <c r="N127" s="9">
        <v>4837</v>
      </c>
      <c r="O127" s="12">
        <v>66.099999999999994</v>
      </c>
      <c r="P127" s="13">
        <v>0.317</v>
      </c>
      <c r="Q127" s="13">
        <v>0.307</v>
      </c>
      <c r="R127" s="11">
        <v>131.69999999999999</v>
      </c>
      <c r="S127" s="11">
        <v>326.10000000000002</v>
      </c>
    </row>
    <row r="128" spans="1:19" x14ac:dyDescent="0.3">
      <c r="A128" s="14" t="s">
        <v>105</v>
      </c>
      <c r="B128" s="14" t="s">
        <v>85</v>
      </c>
      <c r="C128" s="14">
        <v>300</v>
      </c>
      <c r="D128" s="14" t="s">
        <v>93</v>
      </c>
      <c r="E128" s="14">
        <v>2023</v>
      </c>
      <c r="F128" s="14" t="s">
        <v>94</v>
      </c>
      <c r="G128" s="18">
        <v>0.97</v>
      </c>
      <c r="H128" s="15">
        <v>950</v>
      </c>
      <c r="I128" s="15">
        <v>922</v>
      </c>
      <c r="J128" s="15">
        <v>8297225</v>
      </c>
      <c r="K128" s="15">
        <v>1900614</v>
      </c>
      <c r="L128" s="15">
        <v>3742248</v>
      </c>
      <c r="M128" s="15">
        <v>10197839</v>
      </c>
      <c r="N128" s="14">
        <v>8730</v>
      </c>
      <c r="O128" s="16">
        <v>44</v>
      </c>
      <c r="P128" s="17">
        <v>0.30299999999999999</v>
      </c>
      <c r="Q128" s="17">
        <v>0.28100000000000003</v>
      </c>
      <c r="R128" s="15">
        <v>415.8</v>
      </c>
      <c r="S128" s="15">
        <v>1133.0999999999999</v>
      </c>
    </row>
    <row r="129" spans="1:19" x14ac:dyDescent="0.3">
      <c r="A129" s="9" t="s">
        <v>105</v>
      </c>
      <c r="B129" s="9" t="s">
        <v>85</v>
      </c>
      <c r="C129" s="9">
        <v>300</v>
      </c>
      <c r="D129" s="9" t="s">
        <v>95</v>
      </c>
      <c r="E129" s="9">
        <v>2023</v>
      </c>
      <c r="F129" s="9" t="s">
        <v>94</v>
      </c>
      <c r="G129" s="18">
        <v>0.97</v>
      </c>
      <c r="H129" s="11">
        <v>971</v>
      </c>
      <c r="I129" s="11">
        <v>942</v>
      </c>
      <c r="J129" s="11">
        <v>8478187</v>
      </c>
      <c r="K129" s="11">
        <v>2080165</v>
      </c>
      <c r="L129" s="11">
        <v>3422010</v>
      </c>
      <c r="M129" s="11">
        <v>10558352</v>
      </c>
      <c r="N129" s="9">
        <v>8730</v>
      </c>
      <c r="O129" s="12">
        <v>47</v>
      </c>
      <c r="P129" s="13">
        <v>0.28499999999999998</v>
      </c>
      <c r="Q129" s="13">
        <v>0.31</v>
      </c>
      <c r="R129" s="11">
        <v>380.2</v>
      </c>
      <c r="S129" s="11">
        <v>1173.2</v>
      </c>
    </row>
    <row r="130" spans="1:19" x14ac:dyDescent="0.3">
      <c r="A130" s="14" t="s">
        <v>105</v>
      </c>
      <c r="B130" s="14" t="s">
        <v>85</v>
      </c>
      <c r="C130" s="14">
        <v>300</v>
      </c>
      <c r="D130" s="14" t="s">
        <v>96</v>
      </c>
      <c r="E130" s="14">
        <v>2023</v>
      </c>
      <c r="F130" s="14" t="s">
        <v>87</v>
      </c>
      <c r="G130" s="10">
        <v>0.58499999999999996</v>
      </c>
      <c r="H130" s="15">
        <v>523</v>
      </c>
      <c r="I130" s="15">
        <v>306</v>
      </c>
      <c r="J130" s="15">
        <v>2755490</v>
      </c>
      <c r="K130" s="15">
        <v>689576</v>
      </c>
      <c r="L130" s="15">
        <v>1214344</v>
      </c>
      <c r="M130" s="15">
        <v>3445067</v>
      </c>
      <c r="N130" s="14">
        <v>5268</v>
      </c>
      <c r="O130" s="16">
        <v>61.9</v>
      </c>
      <c r="P130" s="17">
        <v>0.32200000000000001</v>
      </c>
      <c r="Q130" s="17">
        <v>0.32500000000000001</v>
      </c>
      <c r="R130" s="15">
        <v>134.9</v>
      </c>
      <c r="S130" s="15">
        <v>382.8</v>
      </c>
    </row>
    <row r="131" spans="1:19" x14ac:dyDescent="0.3">
      <c r="A131" s="9" t="s">
        <v>105</v>
      </c>
      <c r="B131" s="9" t="s">
        <v>85</v>
      </c>
      <c r="C131" s="9">
        <v>300</v>
      </c>
      <c r="D131" s="9" t="s">
        <v>97</v>
      </c>
      <c r="E131" s="9">
        <v>2023</v>
      </c>
      <c r="F131" s="9" t="s">
        <v>87</v>
      </c>
      <c r="G131" s="10">
        <v>0.58899999999999997</v>
      </c>
      <c r="H131" s="11">
        <v>589</v>
      </c>
      <c r="I131" s="11">
        <v>347</v>
      </c>
      <c r="J131" s="11">
        <v>3127065</v>
      </c>
      <c r="K131" s="11">
        <v>890217</v>
      </c>
      <c r="L131" s="11">
        <v>1272110</v>
      </c>
      <c r="M131" s="11">
        <v>4017283</v>
      </c>
      <c r="N131" s="9">
        <v>5305</v>
      </c>
      <c r="O131" s="12">
        <v>51.3</v>
      </c>
      <c r="P131" s="13">
        <v>0.34100000000000003</v>
      </c>
      <c r="Q131" s="13">
        <v>0.29499999999999998</v>
      </c>
      <c r="R131" s="11">
        <v>141.30000000000001</v>
      </c>
      <c r="S131" s="11">
        <v>446.4</v>
      </c>
    </row>
    <row r="132" spans="1:19" x14ac:dyDescent="0.3">
      <c r="A132" s="14" t="s">
        <v>105</v>
      </c>
      <c r="B132" s="14" t="s">
        <v>85</v>
      </c>
      <c r="C132" s="14">
        <v>300</v>
      </c>
      <c r="D132" s="14" t="s">
        <v>98</v>
      </c>
      <c r="E132" s="14">
        <v>2023</v>
      </c>
      <c r="F132" s="14" t="s">
        <v>87</v>
      </c>
      <c r="G132" s="17">
        <v>0.63100000000000001</v>
      </c>
      <c r="H132" s="15">
        <v>562</v>
      </c>
      <c r="I132" s="15">
        <v>355</v>
      </c>
      <c r="J132" s="15">
        <v>3194725</v>
      </c>
      <c r="K132" s="15">
        <v>695826</v>
      </c>
      <c r="L132" s="15">
        <v>1613741</v>
      </c>
      <c r="M132" s="15">
        <v>3890551</v>
      </c>
      <c r="N132" s="14">
        <v>5683</v>
      </c>
      <c r="O132" s="16">
        <v>60.5</v>
      </c>
      <c r="P132" s="17">
        <v>0.33800000000000002</v>
      </c>
      <c r="Q132" s="17">
        <v>0.29099999999999998</v>
      </c>
      <c r="R132" s="15">
        <v>179.3</v>
      </c>
      <c r="S132" s="15">
        <v>432.3</v>
      </c>
    </row>
    <row r="133" spans="1:19" x14ac:dyDescent="0.3">
      <c r="A133" s="9" t="s">
        <v>105</v>
      </c>
      <c r="B133" s="9" t="s">
        <v>85</v>
      </c>
      <c r="C133" s="9">
        <v>300</v>
      </c>
      <c r="D133" s="9" t="s">
        <v>99</v>
      </c>
      <c r="E133" s="9">
        <v>2023</v>
      </c>
      <c r="F133" s="9" t="s">
        <v>87</v>
      </c>
      <c r="G133" s="13">
        <v>0.629</v>
      </c>
      <c r="H133" s="11">
        <v>579</v>
      </c>
      <c r="I133" s="11">
        <v>365</v>
      </c>
      <c r="J133" s="11">
        <v>3281726</v>
      </c>
      <c r="K133" s="11">
        <v>712098</v>
      </c>
      <c r="L133" s="11">
        <v>1549121</v>
      </c>
      <c r="M133" s="11">
        <v>3993823</v>
      </c>
      <c r="N133" s="9">
        <v>5664</v>
      </c>
      <c r="O133" s="12">
        <v>71</v>
      </c>
      <c r="P133" s="13">
        <v>0.32100000000000001</v>
      </c>
      <c r="Q133" s="13">
        <v>0.27400000000000002</v>
      </c>
      <c r="R133" s="11">
        <v>172.1</v>
      </c>
      <c r="S133" s="11">
        <v>443.8</v>
      </c>
    </row>
    <row r="134" spans="1:19" x14ac:dyDescent="0.3">
      <c r="A134" s="14" t="s">
        <v>105</v>
      </c>
      <c r="B134" s="14" t="s">
        <v>85</v>
      </c>
      <c r="C134" s="14">
        <v>300</v>
      </c>
      <c r="D134" s="14" t="s">
        <v>100</v>
      </c>
      <c r="E134" s="14">
        <v>2023</v>
      </c>
      <c r="F134" s="14" t="s">
        <v>87</v>
      </c>
      <c r="G134" s="17">
        <v>0.67800000000000005</v>
      </c>
      <c r="H134" s="15">
        <v>600</v>
      </c>
      <c r="I134" s="15">
        <v>407</v>
      </c>
      <c r="J134" s="15">
        <v>3665332</v>
      </c>
      <c r="K134" s="15">
        <v>923386</v>
      </c>
      <c r="L134" s="15">
        <v>1661721</v>
      </c>
      <c r="M134" s="15">
        <v>4588718</v>
      </c>
      <c r="N134" s="14">
        <v>6106</v>
      </c>
      <c r="O134" s="16">
        <v>66.8</v>
      </c>
      <c r="P134" s="17">
        <v>0.32</v>
      </c>
      <c r="Q134" s="17">
        <v>0.313</v>
      </c>
      <c r="R134" s="15">
        <v>184.6</v>
      </c>
      <c r="S134" s="15">
        <v>509.9</v>
      </c>
    </row>
    <row r="135" spans="1:19" x14ac:dyDescent="0.3">
      <c r="A135" s="9" t="s">
        <v>105</v>
      </c>
      <c r="B135" s="9" t="s">
        <v>85</v>
      </c>
      <c r="C135" s="9">
        <v>300</v>
      </c>
      <c r="D135" s="9" t="s">
        <v>86</v>
      </c>
      <c r="E135" s="9">
        <v>2024</v>
      </c>
      <c r="F135" s="9" t="s">
        <v>87</v>
      </c>
      <c r="G135" s="10">
        <v>0.53800000000000003</v>
      </c>
      <c r="H135" s="11">
        <v>518</v>
      </c>
      <c r="I135" s="11">
        <v>279</v>
      </c>
      <c r="J135" s="11">
        <v>2507780</v>
      </c>
      <c r="K135" s="11">
        <v>689573</v>
      </c>
      <c r="L135" s="11">
        <v>1012648</v>
      </c>
      <c r="M135" s="11">
        <v>3197353</v>
      </c>
      <c r="N135" s="9">
        <v>4838</v>
      </c>
      <c r="O135" s="12">
        <v>48.1</v>
      </c>
      <c r="P135" s="13">
        <v>0.30299999999999999</v>
      </c>
      <c r="Q135" s="13">
        <v>0.28399999999999997</v>
      </c>
      <c r="R135" s="11">
        <v>112.5</v>
      </c>
      <c r="S135" s="11">
        <v>355.3</v>
      </c>
    </row>
    <row r="136" spans="1:19" x14ac:dyDescent="0.3">
      <c r="A136" s="14" t="s">
        <v>105</v>
      </c>
      <c r="B136" s="14" t="s">
        <v>85</v>
      </c>
      <c r="C136" s="14">
        <v>300</v>
      </c>
      <c r="D136" s="14" t="s">
        <v>88</v>
      </c>
      <c r="E136" s="14">
        <v>2024</v>
      </c>
      <c r="F136" s="14" t="s">
        <v>89</v>
      </c>
      <c r="G136" s="10">
        <v>0.59299999999999997</v>
      </c>
      <c r="H136" s="15">
        <v>533</v>
      </c>
      <c r="I136" s="15">
        <v>316</v>
      </c>
      <c r="J136" s="15">
        <v>2844077</v>
      </c>
      <c r="K136" s="15">
        <v>577918</v>
      </c>
      <c r="L136" s="15">
        <v>1376934</v>
      </c>
      <c r="M136" s="15">
        <v>3421995</v>
      </c>
      <c r="N136" s="14">
        <v>5335</v>
      </c>
      <c r="O136" s="16">
        <v>55.9</v>
      </c>
      <c r="P136" s="17">
        <v>0.32500000000000001</v>
      </c>
      <c r="Q136" s="17">
        <v>0.27300000000000002</v>
      </c>
      <c r="R136" s="15">
        <v>153</v>
      </c>
      <c r="S136" s="15">
        <v>380.2</v>
      </c>
    </row>
    <row r="137" spans="1:19" x14ac:dyDescent="0.3">
      <c r="A137" s="9" t="s">
        <v>105</v>
      </c>
      <c r="B137" s="9" t="s">
        <v>85</v>
      </c>
      <c r="C137" s="9">
        <v>300</v>
      </c>
      <c r="D137" s="9" t="s">
        <v>90</v>
      </c>
      <c r="E137" s="9">
        <v>2024</v>
      </c>
      <c r="F137" s="9" t="s">
        <v>89</v>
      </c>
      <c r="G137" s="18">
        <v>0.90400000000000003</v>
      </c>
      <c r="H137" s="11">
        <v>831</v>
      </c>
      <c r="I137" s="11">
        <v>752</v>
      </c>
      <c r="J137" s="11">
        <v>6767286</v>
      </c>
      <c r="K137" s="11">
        <v>1374463</v>
      </c>
      <c r="L137" s="11">
        <v>3094926</v>
      </c>
      <c r="M137" s="11">
        <v>8141749</v>
      </c>
      <c r="N137" s="9">
        <v>8140</v>
      </c>
      <c r="O137" s="12">
        <v>67.8</v>
      </c>
      <c r="P137" s="13">
        <v>0.30399999999999999</v>
      </c>
      <c r="Q137" s="13">
        <v>0.30399999999999999</v>
      </c>
      <c r="R137" s="11">
        <v>343.9</v>
      </c>
      <c r="S137" s="11">
        <v>904.6</v>
      </c>
    </row>
    <row r="138" spans="1:19" x14ac:dyDescent="0.3">
      <c r="A138" s="14" t="s">
        <v>105</v>
      </c>
      <c r="B138" s="14" t="s">
        <v>85</v>
      </c>
      <c r="C138" s="14">
        <v>300</v>
      </c>
      <c r="D138" s="14" t="s">
        <v>91</v>
      </c>
      <c r="E138" s="14">
        <v>2024</v>
      </c>
      <c r="F138" s="14" t="s">
        <v>87</v>
      </c>
      <c r="G138" s="17">
        <v>0.63600000000000001</v>
      </c>
      <c r="H138" s="15">
        <v>552</v>
      </c>
      <c r="I138" s="15">
        <v>351</v>
      </c>
      <c r="J138" s="15">
        <v>3158398</v>
      </c>
      <c r="K138" s="15">
        <v>835917</v>
      </c>
      <c r="L138" s="15">
        <v>1331456</v>
      </c>
      <c r="M138" s="15">
        <v>3994315</v>
      </c>
      <c r="N138" s="14">
        <v>5722</v>
      </c>
      <c r="O138" s="16">
        <v>74.599999999999994</v>
      </c>
      <c r="P138" s="17">
        <v>0.32</v>
      </c>
      <c r="Q138" s="17">
        <v>0.28599999999999998</v>
      </c>
      <c r="R138" s="15">
        <v>147.9</v>
      </c>
      <c r="S138" s="15">
        <v>443.8</v>
      </c>
    </row>
    <row r="139" spans="1:19" x14ac:dyDescent="0.3">
      <c r="A139" s="9" t="s">
        <v>105</v>
      </c>
      <c r="B139" s="9" t="s">
        <v>85</v>
      </c>
      <c r="C139" s="9">
        <v>300</v>
      </c>
      <c r="D139" s="9" t="s">
        <v>92</v>
      </c>
      <c r="E139" s="9">
        <v>2024</v>
      </c>
      <c r="F139" s="9" t="s">
        <v>87</v>
      </c>
      <c r="G139" s="10">
        <v>0.57799999999999996</v>
      </c>
      <c r="H139" s="11">
        <v>550</v>
      </c>
      <c r="I139" s="11">
        <v>318</v>
      </c>
      <c r="J139" s="11">
        <v>2861387</v>
      </c>
      <c r="K139" s="11">
        <v>747654</v>
      </c>
      <c r="L139" s="11">
        <v>1142122</v>
      </c>
      <c r="M139" s="11">
        <v>3609041</v>
      </c>
      <c r="N139" s="9">
        <v>5199</v>
      </c>
      <c r="O139" s="12">
        <v>58</v>
      </c>
      <c r="P139" s="13">
        <v>0.33300000000000002</v>
      </c>
      <c r="Q139" s="13">
        <v>0.32500000000000001</v>
      </c>
      <c r="R139" s="11">
        <v>126.9</v>
      </c>
      <c r="S139" s="11">
        <v>401</v>
      </c>
    </row>
    <row r="140" spans="1:19" x14ac:dyDescent="0.3">
      <c r="A140" s="14" t="s">
        <v>105</v>
      </c>
      <c r="B140" s="14" t="s">
        <v>85</v>
      </c>
      <c r="C140" s="14">
        <v>300</v>
      </c>
      <c r="D140" s="14" t="s">
        <v>93</v>
      </c>
      <c r="E140" s="14">
        <v>2024</v>
      </c>
      <c r="F140" s="14" t="s">
        <v>94</v>
      </c>
      <c r="G140" s="18">
        <v>0.97</v>
      </c>
      <c r="H140" s="15">
        <v>1068</v>
      </c>
      <c r="I140" s="15">
        <v>1036</v>
      </c>
      <c r="J140" s="15">
        <v>9322661</v>
      </c>
      <c r="K140" s="15">
        <v>2608784</v>
      </c>
      <c r="L140" s="15">
        <v>3835121</v>
      </c>
      <c r="M140" s="15">
        <v>11931445</v>
      </c>
      <c r="N140" s="14">
        <v>8730</v>
      </c>
      <c r="O140" s="16">
        <v>61.4</v>
      </c>
      <c r="P140" s="17">
        <v>0.28499999999999998</v>
      </c>
      <c r="Q140" s="17">
        <v>0.308</v>
      </c>
      <c r="R140" s="15">
        <v>426.1</v>
      </c>
      <c r="S140" s="15">
        <v>1325.7</v>
      </c>
    </row>
    <row r="141" spans="1:19" x14ac:dyDescent="0.3">
      <c r="A141" s="9" t="s">
        <v>105</v>
      </c>
      <c r="B141" s="9" t="s">
        <v>85</v>
      </c>
      <c r="C141" s="9">
        <v>300</v>
      </c>
      <c r="D141" s="9" t="s">
        <v>95</v>
      </c>
      <c r="E141" s="9">
        <v>2024</v>
      </c>
      <c r="F141" s="9" t="s">
        <v>94</v>
      </c>
      <c r="G141" s="18">
        <v>0.97</v>
      </c>
      <c r="H141" s="11">
        <v>1129</v>
      </c>
      <c r="I141" s="11">
        <v>1095</v>
      </c>
      <c r="J141" s="11">
        <v>9857383</v>
      </c>
      <c r="K141" s="11">
        <v>2779465</v>
      </c>
      <c r="L141" s="11">
        <v>4519665</v>
      </c>
      <c r="M141" s="11">
        <v>12636848</v>
      </c>
      <c r="N141" s="9">
        <v>8730</v>
      </c>
      <c r="O141" s="12">
        <v>58.8</v>
      </c>
      <c r="P141" s="13">
        <v>0.32100000000000001</v>
      </c>
      <c r="Q141" s="13">
        <v>0.27200000000000002</v>
      </c>
      <c r="R141" s="11">
        <v>502.2</v>
      </c>
      <c r="S141" s="11">
        <v>1404.1</v>
      </c>
    </row>
    <row r="142" spans="1:19" x14ac:dyDescent="0.3">
      <c r="A142" s="14" t="s">
        <v>105</v>
      </c>
      <c r="B142" s="14" t="s">
        <v>85</v>
      </c>
      <c r="C142" s="14">
        <v>300</v>
      </c>
      <c r="D142" s="14" t="s">
        <v>96</v>
      </c>
      <c r="E142" s="14">
        <v>2024</v>
      </c>
      <c r="F142" s="14" t="s">
        <v>87</v>
      </c>
      <c r="G142" s="17">
        <v>0.65600000000000003</v>
      </c>
      <c r="H142" s="15">
        <v>592</v>
      </c>
      <c r="I142" s="15">
        <v>389</v>
      </c>
      <c r="J142" s="15">
        <v>3496534</v>
      </c>
      <c r="K142" s="15">
        <v>1038181</v>
      </c>
      <c r="L142" s="15">
        <v>1692301</v>
      </c>
      <c r="M142" s="15">
        <v>4534715</v>
      </c>
      <c r="N142" s="14">
        <v>5905</v>
      </c>
      <c r="O142" s="16">
        <v>71.5</v>
      </c>
      <c r="P142" s="17">
        <v>0.32800000000000001</v>
      </c>
      <c r="Q142" s="17">
        <v>0.30399999999999999</v>
      </c>
      <c r="R142" s="15">
        <v>188</v>
      </c>
      <c r="S142" s="15">
        <v>503.9</v>
      </c>
    </row>
    <row r="143" spans="1:19" x14ac:dyDescent="0.3">
      <c r="A143" s="9" t="s">
        <v>105</v>
      </c>
      <c r="B143" s="9" t="s">
        <v>85</v>
      </c>
      <c r="C143" s="9">
        <v>300</v>
      </c>
      <c r="D143" s="9" t="s">
        <v>97</v>
      </c>
      <c r="E143" s="9">
        <v>2024</v>
      </c>
      <c r="F143" s="9" t="s">
        <v>87</v>
      </c>
      <c r="G143" s="13">
        <v>0.65400000000000003</v>
      </c>
      <c r="H143" s="11">
        <v>645</v>
      </c>
      <c r="I143" s="11">
        <v>422</v>
      </c>
      <c r="J143" s="11">
        <v>3801069</v>
      </c>
      <c r="K143" s="11">
        <v>810073</v>
      </c>
      <c r="L143" s="11">
        <v>1703449</v>
      </c>
      <c r="M143" s="11">
        <v>4611142</v>
      </c>
      <c r="N143" s="9">
        <v>5890</v>
      </c>
      <c r="O143" s="12">
        <v>62.6</v>
      </c>
      <c r="P143" s="13">
        <v>0.30499999999999999</v>
      </c>
      <c r="Q143" s="13">
        <v>0.309</v>
      </c>
      <c r="R143" s="11">
        <v>189.3</v>
      </c>
      <c r="S143" s="11">
        <v>512.29999999999995</v>
      </c>
    </row>
    <row r="144" spans="1:19" x14ac:dyDescent="0.3">
      <c r="A144" s="14" t="s">
        <v>105</v>
      </c>
      <c r="B144" s="14" t="s">
        <v>85</v>
      </c>
      <c r="C144" s="14">
        <v>300</v>
      </c>
      <c r="D144" s="14" t="s">
        <v>98</v>
      </c>
      <c r="E144" s="14">
        <v>2024</v>
      </c>
      <c r="F144" s="14" t="s">
        <v>87</v>
      </c>
      <c r="G144" s="17">
        <v>0.70399999999999996</v>
      </c>
      <c r="H144" s="15">
        <v>648</v>
      </c>
      <c r="I144" s="15">
        <v>456</v>
      </c>
      <c r="J144" s="15">
        <v>4104730</v>
      </c>
      <c r="K144" s="15">
        <v>875657</v>
      </c>
      <c r="L144" s="15">
        <v>1974313</v>
      </c>
      <c r="M144" s="15">
        <v>4980387</v>
      </c>
      <c r="N144" s="14">
        <v>6337</v>
      </c>
      <c r="O144" s="16">
        <v>62.8</v>
      </c>
      <c r="P144" s="17">
        <v>0.29799999999999999</v>
      </c>
      <c r="Q144" s="17">
        <v>0.318</v>
      </c>
      <c r="R144" s="15">
        <v>219.4</v>
      </c>
      <c r="S144" s="15">
        <v>553.4</v>
      </c>
    </row>
    <row r="145" spans="1:19" x14ac:dyDescent="0.3">
      <c r="A145" s="9" t="s">
        <v>105</v>
      </c>
      <c r="B145" s="9" t="s">
        <v>85</v>
      </c>
      <c r="C145" s="9">
        <v>300</v>
      </c>
      <c r="D145" s="9" t="s">
        <v>99</v>
      </c>
      <c r="E145" s="9">
        <v>2024</v>
      </c>
      <c r="F145" s="9" t="s">
        <v>87</v>
      </c>
      <c r="G145" s="13">
        <v>0.63300000000000001</v>
      </c>
      <c r="H145" s="11">
        <v>628</v>
      </c>
      <c r="I145" s="11">
        <v>398</v>
      </c>
      <c r="J145" s="11">
        <v>3577559</v>
      </c>
      <c r="K145" s="11">
        <v>1051154</v>
      </c>
      <c r="L145" s="11">
        <v>1895385</v>
      </c>
      <c r="M145" s="11">
        <v>4628713</v>
      </c>
      <c r="N145" s="9">
        <v>5699</v>
      </c>
      <c r="O145" s="12">
        <v>70</v>
      </c>
      <c r="P145" s="13">
        <v>0.34599999999999997</v>
      </c>
      <c r="Q145" s="13">
        <v>0.30499999999999999</v>
      </c>
      <c r="R145" s="11">
        <v>210.6</v>
      </c>
      <c r="S145" s="11">
        <v>514.29999999999995</v>
      </c>
    </row>
    <row r="146" spans="1:19" x14ac:dyDescent="0.3">
      <c r="A146" s="14" t="s">
        <v>105</v>
      </c>
      <c r="B146" s="14" t="s">
        <v>85</v>
      </c>
      <c r="C146" s="14">
        <v>300</v>
      </c>
      <c r="D146" s="14" t="s">
        <v>100</v>
      </c>
      <c r="E146" s="14">
        <v>2024</v>
      </c>
      <c r="F146" s="14" t="s">
        <v>87</v>
      </c>
      <c r="G146" s="17">
        <v>0.66100000000000003</v>
      </c>
      <c r="H146" s="15">
        <v>666</v>
      </c>
      <c r="I146" s="15">
        <v>440</v>
      </c>
      <c r="J146" s="15">
        <v>3961486</v>
      </c>
      <c r="K146" s="15">
        <v>974319</v>
      </c>
      <c r="L146" s="15">
        <v>1973140</v>
      </c>
      <c r="M146" s="15">
        <v>4935805</v>
      </c>
      <c r="N146" s="14">
        <v>5951</v>
      </c>
      <c r="O146" s="16">
        <v>60.3</v>
      </c>
      <c r="P146" s="17">
        <v>0.314</v>
      </c>
      <c r="Q146" s="17">
        <v>0.314</v>
      </c>
      <c r="R146" s="15">
        <v>219.2</v>
      </c>
      <c r="S146" s="15">
        <v>548.4</v>
      </c>
    </row>
    <row r="147" spans="1:19" x14ac:dyDescent="0.3">
      <c r="A147" s="9" t="s">
        <v>106</v>
      </c>
      <c r="B147" s="9" t="s">
        <v>107</v>
      </c>
      <c r="C147" s="9">
        <v>250</v>
      </c>
      <c r="D147" s="9" t="s">
        <v>86</v>
      </c>
      <c r="E147" s="9">
        <v>2023</v>
      </c>
      <c r="F147" s="9" t="s">
        <v>87</v>
      </c>
      <c r="G147" s="13">
        <v>0.60899999999999999</v>
      </c>
      <c r="H147" s="11">
        <v>352</v>
      </c>
      <c r="I147" s="11">
        <v>214</v>
      </c>
      <c r="J147" s="11">
        <v>1605709</v>
      </c>
      <c r="K147" s="11">
        <v>395529</v>
      </c>
      <c r="L147" s="11">
        <v>757091</v>
      </c>
      <c r="M147" s="11">
        <v>2001238</v>
      </c>
      <c r="N147" s="9">
        <v>4563</v>
      </c>
      <c r="O147" s="12">
        <v>49.4</v>
      </c>
      <c r="P147" s="13">
        <v>0.28100000000000003</v>
      </c>
      <c r="Q147" s="13">
        <v>0.30199999999999999</v>
      </c>
      <c r="R147" s="11">
        <v>100.9</v>
      </c>
      <c r="S147" s="11">
        <v>266.8</v>
      </c>
    </row>
    <row r="148" spans="1:19" x14ac:dyDescent="0.3">
      <c r="A148" s="14" t="s">
        <v>106</v>
      </c>
      <c r="B148" s="14" t="s">
        <v>107</v>
      </c>
      <c r="C148" s="14">
        <v>250</v>
      </c>
      <c r="D148" s="14" t="s">
        <v>88</v>
      </c>
      <c r="E148" s="14">
        <v>2023</v>
      </c>
      <c r="F148" s="14" t="s">
        <v>89</v>
      </c>
      <c r="G148" s="17">
        <v>0.61199999999999999</v>
      </c>
      <c r="H148" s="15">
        <v>362</v>
      </c>
      <c r="I148" s="15">
        <v>222</v>
      </c>
      <c r="J148" s="15">
        <v>1662556</v>
      </c>
      <c r="K148" s="15">
        <v>418246</v>
      </c>
      <c r="L148" s="15">
        <v>646696</v>
      </c>
      <c r="M148" s="15">
        <v>2080802</v>
      </c>
      <c r="N148" s="14">
        <v>4590</v>
      </c>
      <c r="O148" s="16">
        <v>67.7</v>
      </c>
      <c r="P148" s="17">
        <v>0.28999999999999998</v>
      </c>
      <c r="Q148" s="17">
        <v>0.29899999999999999</v>
      </c>
      <c r="R148" s="15">
        <v>86.2</v>
      </c>
      <c r="S148" s="15">
        <v>277.39999999999998</v>
      </c>
    </row>
    <row r="149" spans="1:19" x14ac:dyDescent="0.3">
      <c r="A149" s="9" t="s">
        <v>106</v>
      </c>
      <c r="B149" s="9" t="s">
        <v>107</v>
      </c>
      <c r="C149" s="9">
        <v>250</v>
      </c>
      <c r="D149" s="9" t="s">
        <v>90</v>
      </c>
      <c r="E149" s="9">
        <v>2023</v>
      </c>
      <c r="F149" s="9" t="s">
        <v>89</v>
      </c>
      <c r="G149" s="18">
        <v>0.97</v>
      </c>
      <c r="H149" s="11">
        <v>567</v>
      </c>
      <c r="I149" s="11">
        <v>550</v>
      </c>
      <c r="J149" s="11">
        <v>4127584</v>
      </c>
      <c r="K149" s="11">
        <v>1146032</v>
      </c>
      <c r="L149" s="11">
        <v>1734428</v>
      </c>
      <c r="M149" s="11">
        <v>5273617</v>
      </c>
      <c r="N149" s="9">
        <v>7275</v>
      </c>
      <c r="O149" s="12">
        <v>72.2</v>
      </c>
      <c r="P149" s="13">
        <v>0.33200000000000002</v>
      </c>
      <c r="Q149" s="13">
        <v>0.32100000000000001</v>
      </c>
      <c r="R149" s="11">
        <v>231.3</v>
      </c>
      <c r="S149" s="11">
        <v>703.1</v>
      </c>
    </row>
    <row r="150" spans="1:19" x14ac:dyDescent="0.3">
      <c r="A150" s="14" t="s">
        <v>106</v>
      </c>
      <c r="B150" s="14" t="s">
        <v>107</v>
      </c>
      <c r="C150" s="14">
        <v>250</v>
      </c>
      <c r="D150" s="14" t="s">
        <v>91</v>
      </c>
      <c r="E150" s="14">
        <v>2023</v>
      </c>
      <c r="F150" s="14" t="s">
        <v>87</v>
      </c>
      <c r="G150" s="17">
        <v>0.63300000000000001</v>
      </c>
      <c r="H150" s="15">
        <v>409</v>
      </c>
      <c r="I150" s="15">
        <v>259</v>
      </c>
      <c r="J150" s="15">
        <v>1940579</v>
      </c>
      <c r="K150" s="15">
        <v>395607</v>
      </c>
      <c r="L150" s="15">
        <v>777938</v>
      </c>
      <c r="M150" s="15">
        <v>2336186</v>
      </c>
      <c r="N150" s="14">
        <v>4747</v>
      </c>
      <c r="O150" s="16">
        <v>55.4</v>
      </c>
      <c r="P150" s="17">
        <v>0.32600000000000001</v>
      </c>
      <c r="Q150" s="17">
        <v>0.31900000000000001</v>
      </c>
      <c r="R150" s="15">
        <v>103.7</v>
      </c>
      <c r="S150" s="15">
        <v>311.5</v>
      </c>
    </row>
    <row r="151" spans="1:19" x14ac:dyDescent="0.3">
      <c r="A151" s="9" t="s">
        <v>106</v>
      </c>
      <c r="B151" s="9" t="s">
        <v>107</v>
      </c>
      <c r="C151" s="9">
        <v>250</v>
      </c>
      <c r="D151" s="9" t="s">
        <v>92</v>
      </c>
      <c r="E151" s="9">
        <v>2023</v>
      </c>
      <c r="F151" s="9" t="s">
        <v>87</v>
      </c>
      <c r="G151" s="13">
        <v>0.63700000000000001</v>
      </c>
      <c r="H151" s="11">
        <v>398</v>
      </c>
      <c r="I151" s="11">
        <v>253</v>
      </c>
      <c r="J151" s="11">
        <v>1898421</v>
      </c>
      <c r="K151" s="11">
        <v>401658</v>
      </c>
      <c r="L151" s="11">
        <v>705609</v>
      </c>
      <c r="M151" s="11">
        <v>2300079</v>
      </c>
      <c r="N151" s="9">
        <v>4774</v>
      </c>
      <c r="O151" s="12">
        <v>52.8</v>
      </c>
      <c r="P151" s="13">
        <v>0.34699999999999998</v>
      </c>
      <c r="Q151" s="13">
        <v>0.27800000000000002</v>
      </c>
      <c r="R151" s="11">
        <v>94.1</v>
      </c>
      <c r="S151" s="11">
        <v>306.7</v>
      </c>
    </row>
    <row r="152" spans="1:19" x14ac:dyDescent="0.3">
      <c r="A152" s="14" t="s">
        <v>106</v>
      </c>
      <c r="B152" s="14" t="s">
        <v>107</v>
      </c>
      <c r="C152" s="14">
        <v>250</v>
      </c>
      <c r="D152" s="14" t="s">
        <v>93</v>
      </c>
      <c r="E152" s="14">
        <v>2023</v>
      </c>
      <c r="F152" s="14" t="s">
        <v>94</v>
      </c>
      <c r="G152" s="18">
        <v>0.97</v>
      </c>
      <c r="H152" s="15">
        <v>734</v>
      </c>
      <c r="I152" s="15">
        <v>712</v>
      </c>
      <c r="J152" s="15">
        <v>5339464</v>
      </c>
      <c r="K152" s="15">
        <v>1144715</v>
      </c>
      <c r="L152" s="15">
        <v>2300352</v>
      </c>
      <c r="M152" s="15">
        <v>6484180</v>
      </c>
      <c r="N152" s="14">
        <v>7275</v>
      </c>
      <c r="O152" s="16">
        <v>54.5</v>
      </c>
      <c r="P152" s="17">
        <v>0.34499999999999997</v>
      </c>
      <c r="Q152" s="17">
        <v>0.29799999999999999</v>
      </c>
      <c r="R152" s="15">
        <v>306.7</v>
      </c>
      <c r="S152" s="15">
        <v>864.6</v>
      </c>
    </row>
    <row r="153" spans="1:19" x14ac:dyDescent="0.3">
      <c r="A153" s="9" t="s">
        <v>106</v>
      </c>
      <c r="B153" s="9" t="s">
        <v>107</v>
      </c>
      <c r="C153" s="9">
        <v>250</v>
      </c>
      <c r="D153" s="9" t="s">
        <v>95</v>
      </c>
      <c r="E153" s="9">
        <v>2023</v>
      </c>
      <c r="F153" s="9" t="s">
        <v>94</v>
      </c>
      <c r="G153" s="18">
        <v>0.97</v>
      </c>
      <c r="H153" s="11">
        <v>746</v>
      </c>
      <c r="I153" s="11">
        <v>724</v>
      </c>
      <c r="J153" s="11">
        <v>5429441</v>
      </c>
      <c r="K153" s="11">
        <v>1597120</v>
      </c>
      <c r="L153" s="11">
        <v>2194538</v>
      </c>
      <c r="M153" s="11">
        <v>7026561</v>
      </c>
      <c r="N153" s="9">
        <v>7275</v>
      </c>
      <c r="O153" s="12">
        <v>55.5</v>
      </c>
      <c r="P153" s="13">
        <v>0.34399999999999997</v>
      </c>
      <c r="Q153" s="13">
        <v>0.27800000000000002</v>
      </c>
      <c r="R153" s="11">
        <v>292.60000000000002</v>
      </c>
      <c r="S153" s="11">
        <v>936.9</v>
      </c>
    </row>
    <row r="154" spans="1:19" x14ac:dyDescent="0.3">
      <c r="A154" s="14" t="s">
        <v>106</v>
      </c>
      <c r="B154" s="14" t="s">
        <v>107</v>
      </c>
      <c r="C154" s="14">
        <v>250</v>
      </c>
      <c r="D154" s="14" t="s">
        <v>96</v>
      </c>
      <c r="E154" s="14">
        <v>2023</v>
      </c>
      <c r="F154" s="14" t="s">
        <v>87</v>
      </c>
      <c r="G154" s="17">
        <v>0.66500000000000004</v>
      </c>
      <c r="H154" s="15">
        <v>422</v>
      </c>
      <c r="I154" s="15">
        <v>280</v>
      </c>
      <c r="J154" s="15">
        <v>2102389</v>
      </c>
      <c r="K154" s="15">
        <v>445222</v>
      </c>
      <c r="L154" s="15">
        <v>915879</v>
      </c>
      <c r="M154" s="15">
        <v>2547611</v>
      </c>
      <c r="N154" s="14">
        <v>4987</v>
      </c>
      <c r="O154" s="16">
        <v>67.2</v>
      </c>
      <c r="P154" s="17">
        <v>0.33700000000000002</v>
      </c>
      <c r="Q154" s="17">
        <v>0.28399999999999997</v>
      </c>
      <c r="R154" s="15">
        <v>122.1</v>
      </c>
      <c r="S154" s="15">
        <v>339.7</v>
      </c>
    </row>
    <row r="155" spans="1:19" x14ac:dyDescent="0.3">
      <c r="A155" s="9" t="s">
        <v>106</v>
      </c>
      <c r="B155" s="9" t="s">
        <v>107</v>
      </c>
      <c r="C155" s="9">
        <v>250</v>
      </c>
      <c r="D155" s="9" t="s">
        <v>97</v>
      </c>
      <c r="E155" s="9">
        <v>2023</v>
      </c>
      <c r="F155" s="9" t="s">
        <v>87</v>
      </c>
      <c r="G155" s="13">
        <v>0.67200000000000004</v>
      </c>
      <c r="H155" s="11">
        <v>401</v>
      </c>
      <c r="I155" s="11">
        <v>269</v>
      </c>
      <c r="J155" s="11">
        <v>2019816</v>
      </c>
      <c r="K155" s="11">
        <v>488729</v>
      </c>
      <c r="L155" s="11">
        <v>1008704</v>
      </c>
      <c r="M155" s="11">
        <v>2508545</v>
      </c>
      <c r="N155" s="9">
        <v>5039</v>
      </c>
      <c r="O155" s="12">
        <v>53.9</v>
      </c>
      <c r="P155" s="13">
        <v>0.28399999999999997</v>
      </c>
      <c r="Q155" s="13">
        <v>0.31900000000000001</v>
      </c>
      <c r="R155" s="11">
        <v>134.5</v>
      </c>
      <c r="S155" s="11">
        <v>334.5</v>
      </c>
    </row>
    <row r="156" spans="1:19" x14ac:dyDescent="0.3">
      <c r="A156" s="14" t="s">
        <v>106</v>
      </c>
      <c r="B156" s="14" t="s">
        <v>107</v>
      </c>
      <c r="C156" s="14">
        <v>250</v>
      </c>
      <c r="D156" s="14" t="s">
        <v>98</v>
      </c>
      <c r="E156" s="14">
        <v>2023</v>
      </c>
      <c r="F156" s="14" t="s">
        <v>87</v>
      </c>
      <c r="G156" s="17">
        <v>0.73199999999999998</v>
      </c>
      <c r="H156" s="15">
        <v>449</v>
      </c>
      <c r="I156" s="15">
        <v>329</v>
      </c>
      <c r="J156" s="15">
        <v>2467564</v>
      </c>
      <c r="K156" s="15">
        <v>543776</v>
      </c>
      <c r="L156" s="15">
        <v>1254358</v>
      </c>
      <c r="M156" s="15">
        <v>3011340</v>
      </c>
      <c r="N156" s="14">
        <v>5490</v>
      </c>
      <c r="O156" s="16">
        <v>53.4</v>
      </c>
      <c r="P156" s="17">
        <v>0.33400000000000002</v>
      </c>
      <c r="Q156" s="17">
        <v>0.29199999999999998</v>
      </c>
      <c r="R156" s="15">
        <v>167.2</v>
      </c>
      <c r="S156" s="15">
        <v>401.5</v>
      </c>
    </row>
    <row r="157" spans="1:19" x14ac:dyDescent="0.3">
      <c r="A157" s="9" t="s">
        <v>106</v>
      </c>
      <c r="B157" s="9" t="s">
        <v>107</v>
      </c>
      <c r="C157" s="9">
        <v>250</v>
      </c>
      <c r="D157" s="9" t="s">
        <v>99</v>
      </c>
      <c r="E157" s="9">
        <v>2023</v>
      </c>
      <c r="F157" s="9" t="s">
        <v>87</v>
      </c>
      <c r="G157" s="13">
        <v>0.68700000000000006</v>
      </c>
      <c r="H157" s="11">
        <v>421</v>
      </c>
      <c r="I157" s="11">
        <v>289</v>
      </c>
      <c r="J157" s="11">
        <v>2167613</v>
      </c>
      <c r="K157" s="11">
        <v>532657</v>
      </c>
      <c r="L157" s="11">
        <v>963949</v>
      </c>
      <c r="M157" s="11">
        <v>2700270</v>
      </c>
      <c r="N157" s="9">
        <v>5149</v>
      </c>
      <c r="O157" s="12">
        <v>51.4</v>
      </c>
      <c r="P157" s="13">
        <v>0.30499999999999999</v>
      </c>
      <c r="Q157" s="13">
        <v>0.32700000000000001</v>
      </c>
      <c r="R157" s="11">
        <v>128.5</v>
      </c>
      <c r="S157" s="11">
        <v>360</v>
      </c>
    </row>
    <row r="158" spans="1:19" x14ac:dyDescent="0.3">
      <c r="A158" s="14" t="s">
        <v>106</v>
      </c>
      <c r="B158" s="14" t="s">
        <v>107</v>
      </c>
      <c r="C158" s="14">
        <v>250</v>
      </c>
      <c r="D158" s="14" t="s">
        <v>100</v>
      </c>
      <c r="E158" s="14">
        <v>2023</v>
      </c>
      <c r="F158" s="14" t="s">
        <v>87</v>
      </c>
      <c r="G158" s="17">
        <v>0.70699999999999996</v>
      </c>
      <c r="H158" s="15">
        <v>446</v>
      </c>
      <c r="I158" s="15">
        <v>315</v>
      </c>
      <c r="J158" s="15">
        <v>2363201</v>
      </c>
      <c r="K158" s="15">
        <v>580195</v>
      </c>
      <c r="L158" s="15">
        <v>1116123</v>
      </c>
      <c r="M158" s="15">
        <v>2943396</v>
      </c>
      <c r="N158" s="14">
        <v>5301</v>
      </c>
      <c r="O158" s="16">
        <v>64.599999999999994</v>
      </c>
      <c r="P158" s="17">
        <v>0.308</v>
      </c>
      <c r="Q158" s="17">
        <v>0.32400000000000001</v>
      </c>
      <c r="R158" s="15">
        <v>148.80000000000001</v>
      </c>
      <c r="S158" s="15">
        <v>392.5</v>
      </c>
    </row>
    <row r="159" spans="1:19" x14ac:dyDescent="0.3">
      <c r="A159" s="9" t="s">
        <v>106</v>
      </c>
      <c r="B159" s="9" t="s">
        <v>107</v>
      </c>
      <c r="C159" s="9">
        <v>250</v>
      </c>
      <c r="D159" s="9" t="s">
        <v>86</v>
      </c>
      <c r="E159" s="9">
        <v>2024</v>
      </c>
      <c r="F159" s="9" t="s">
        <v>87</v>
      </c>
      <c r="G159" s="13">
        <v>0.65600000000000003</v>
      </c>
      <c r="H159" s="11">
        <v>375</v>
      </c>
      <c r="I159" s="11">
        <v>246</v>
      </c>
      <c r="J159" s="11">
        <v>1844763</v>
      </c>
      <c r="K159" s="11">
        <v>376990</v>
      </c>
      <c r="L159" s="11">
        <v>914779</v>
      </c>
      <c r="M159" s="11">
        <v>2221753</v>
      </c>
      <c r="N159" s="9">
        <v>4920</v>
      </c>
      <c r="O159" s="12">
        <v>69.900000000000006</v>
      </c>
      <c r="P159" s="13">
        <v>0.36</v>
      </c>
      <c r="Q159" s="13">
        <v>0.28299999999999997</v>
      </c>
      <c r="R159" s="11">
        <v>122</v>
      </c>
      <c r="S159" s="11">
        <v>296.2</v>
      </c>
    </row>
    <row r="160" spans="1:19" x14ac:dyDescent="0.3">
      <c r="A160" s="14" t="s">
        <v>106</v>
      </c>
      <c r="B160" s="14" t="s">
        <v>107</v>
      </c>
      <c r="C160" s="14">
        <v>250</v>
      </c>
      <c r="D160" s="14" t="s">
        <v>88</v>
      </c>
      <c r="E160" s="14">
        <v>2024</v>
      </c>
      <c r="F160" s="14" t="s">
        <v>89</v>
      </c>
      <c r="G160" s="17">
        <v>0.71199999999999997</v>
      </c>
      <c r="H160" s="15">
        <v>392</v>
      </c>
      <c r="I160" s="15">
        <v>279</v>
      </c>
      <c r="J160" s="15">
        <v>2094032</v>
      </c>
      <c r="K160" s="15">
        <v>439445</v>
      </c>
      <c r="L160" s="15">
        <v>819534</v>
      </c>
      <c r="M160" s="15">
        <v>2533476</v>
      </c>
      <c r="N160" s="14">
        <v>5339</v>
      </c>
      <c r="O160" s="16">
        <v>69.3</v>
      </c>
      <c r="P160" s="17">
        <v>0.33200000000000002</v>
      </c>
      <c r="Q160" s="17">
        <v>0.32200000000000001</v>
      </c>
      <c r="R160" s="15">
        <v>109.3</v>
      </c>
      <c r="S160" s="15">
        <v>337.8</v>
      </c>
    </row>
    <row r="161" spans="1:19" x14ac:dyDescent="0.3">
      <c r="A161" s="9" t="s">
        <v>106</v>
      </c>
      <c r="B161" s="9" t="s">
        <v>107</v>
      </c>
      <c r="C161" s="9">
        <v>250</v>
      </c>
      <c r="D161" s="9" t="s">
        <v>90</v>
      </c>
      <c r="E161" s="9">
        <v>2024</v>
      </c>
      <c r="F161" s="9" t="s">
        <v>89</v>
      </c>
      <c r="G161" s="18">
        <v>0.97</v>
      </c>
      <c r="H161" s="11">
        <v>617</v>
      </c>
      <c r="I161" s="11">
        <v>598</v>
      </c>
      <c r="J161" s="11">
        <v>4488559</v>
      </c>
      <c r="K161" s="11">
        <v>1280616</v>
      </c>
      <c r="L161" s="11">
        <v>2361414</v>
      </c>
      <c r="M161" s="11">
        <v>5769175</v>
      </c>
      <c r="N161" s="9">
        <v>7275</v>
      </c>
      <c r="O161" s="12">
        <v>66.7</v>
      </c>
      <c r="P161" s="13">
        <v>0.29699999999999999</v>
      </c>
      <c r="Q161" s="13">
        <v>0.31</v>
      </c>
      <c r="R161" s="11">
        <v>314.89999999999998</v>
      </c>
      <c r="S161" s="11">
        <v>769.2</v>
      </c>
    </row>
    <row r="162" spans="1:19" x14ac:dyDescent="0.3">
      <c r="A162" s="14" t="s">
        <v>106</v>
      </c>
      <c r="B162" s="14" t="s">
        <v>107</v>
      </c>
      <c r="C162" s="14">
        <v>250</v>
      </c>
      <c r="D162" s="14" t="s">
        <v>91</v>
      </c>
      <c r="E162" s="14">
        <v>2024</v>
      </c>
      <c r="F162" s="14" t="s">
        <v>87</v>
      </c>
      <c r="G162" s="17">
        <v>0.71899999999999997</v>
      </c>
      <c r="H162" s="15">
        <v>436</v>
      </c>
      <c r="I162" s="15">
        <v>314</v>
      </c>
      <c r="J162" s="15">
        <v>2352842</v>
      </c>
      <c r="K162" s="15">
        <v>544287</v>
      </c>
      <c r="L162" s="15">
        <v>918116</v>
      </c>
      <c r="M162" s="15">
        <v>2897129</v>
      </c>
      <c r="N162" s="14">
        <v>5394</v>
      </c>
      <c r="O162" s="16">
        <v>71.599999999999994</v>
      </c>
      <c r="P162" s="17">
        <v>0.32100000000000001</v>
      </c>
      <c r="Q162" s="17">
        <v>0.28799999999999998</v>
      </c>
      <c r="R162" s="15">
        <v>122.4</v>
      </c>
      <c r="S162" s="15">
        <v>386.3</v>
      </c>
    </row>
    <row r="163" spans="1:19" x14ac:dyDescent="0.3">
      <c r="A163" s="9" t="s">
        <v>106</v>
      </c>
      <c r="B163" s="9" t="s">
        <v>107</v>
      </c>
      <c r="C163" s="9">
        <v>250</v>
      </c>
      <c r="D163" s="9" t="s">
        <v>92</v>
      </c>
      <c r="E163" s="9">
        <v>2024</v>
      </c>
      <c r="F163" s="9" t="s">
        <v>87</v>
      </c>
      <c r="G163" s="13">
        <v>0.65900000000000003</v>
      </c>
      <c r="H163" s="11">
        <v>426</v>
      </c>
      <c r="I163" s="11">
        <v>281</v>
      </c>
      <c r="J163" s="11">
        <v>2103852</v>
      </c>
      <c r="K163" s="11">
        <v>542353</v>
      </c>
      <c r="L163" s="11">
        <v>1000139</v>
      </c>
      <c r="M163" s="11">
        <v>2646205</v>
      </c>
      <c r="N163" s="9">
        <v>4942</v>
      </c>
      <c r="O163" s="12">
        <v>71.3</v>
      </c>
      <c r="P163" s="13">
        <v>0.30099999999999999</v>
      </c>
      <c r="Q163" s="13">
        <v>0.31</v>
      </c>
      <c r="R163" s="11">
        <v>133.4</v>
      </c>
      <c r="S163" s="11">
        <v>352.8</v>
      </c>
    </row>
    <row r="164" spans="1:19" x14ac:dyDescent="0.3">
      <c r="A164" s="14" t="s">
        <v>106</v>
      </c>
      <c r="B164" s="14" t="s">
        <v>107</v>
      </c>
      <c r="C164" s="14">
        <v>250</v>
      </c>
      <c r="D164" s="14" t="s">
        <v>93</v>
      </c>
      <c r="E164" s="14">
        <v>2024</v>
      </c>
      <c r="F164" s="14" t="s">
        <v>94</v>
      </c>
      <c r="G164" s="18">
        <v>0.97</v>
      </c>
      <c r="H164" s="15">
        <v>765</v>
      </c>
      <c r="I164" s="15">
        <v>742</v>
      </c>
      <c r="J164" s="15">
        <v>5563282</v>
      </c>
      <c r="K164" s="15">
        <v>1616173</v>
      </c>
      <c r="L164" s="15">
        <v>2798069</v>
      </c>
      <c r="M164" s="15">
        <v>7179456</v>
      </c>
      <c r="N164" s="14">
        <v>7275</v>
      </c>
      <c r="O164" s="16">
        <v>43</v>
      </c>
      <c r="P164" s="17">
        <v>0.312</v>
      </c>
      <c r="Q164" s="17">
        <v>0.28000000000000003</v>
      </c>
      <c r="R164" s="15">
        <v>373.1</v>
      </c>
      <c r="S164" s="15">
        <v>957.3</v>
      </c>
    </row>
    <row r="165" spans="1:19" x14ac:dyDescent="0.3">
      <c r="A165" s="9" t="s">
        <v>106</v>
      </c>
      <c r="B165" s="9" t="s">
        <v>107</v>
      </c>
      <c r="C165" s="9">
        <v>250</v>
      </c>
      <c r="D165" s="9" t="s">
        <v>95</v>
      </c>
      <c r="E165" s="9">
        <v>2024</v>
      </c>
      <c r="F165" s="9" t="s">
        <v>94</v>
      </c>
      <c r="G165" s="18">
        <v>0.97</v>
      </c>
      <c r="H165" s="11">
        <v>782</v>
      </c>
      <c r="I165" s="11">
        <v>759</v>
      </c>
      <c r="J165" s="11">
        <v>5688931</v>
      </c>
      <c r="K165" s="11">
        <v>1342552</v>
      </c>
      <c r="L165" s="11">
        <v>2414616</v>
      </c>
      <c r="M165" s="11">
        <v>7031483</v>
      </c>
      <c r="N165" s="9">
        <v>7275</v>
      </c>
      <c r="O165" s="12">
        <v>47.8</v>
      </c>
      <c r="P165" s="13">
        <v>0.28699999999999998</v>
      </c>
      <c r="Q165" s="13">
        <v>0.316</v>
      </c>
      <c r="R165" s="11">
        <v>321.89999999999998</v>
      </c>
      <c r="S165" s="11">
        <v>937.5</v>
      </c>
    </row>
    <row r="166" spans="1:19" x14ac:dyDescent="0.3">
      <c r="A166" s="14" t="s">
        <v>106</v>
      </c>
      <c r="B166" s="14" t="s">
        <v>107</v>
      </c>
      <c r="C166" s="14">
        <v>250</v>
      </c>
      <c r="D166" s="14" t="s">
        <v>96</v>
      </c>
      <c r="E166" s="14">
        <v>2024</v>
      </c>
      <c r="F166" s="14" t="s">
        <v>87</v>
      </c>
      <c r="G166" s="17">
        <v>0.69099999999999995</v>
      </c>
      <c r="H166" s="15">
        <v>448</v>
      </c>
      <c r="I166" s="15">
        <v>310</v>
      </c>
      <c r="J166" s="15">
        <v>2323687</v>
      </c>
      <c r="K166" s="15">
        <v>481172</v>
      </c>
      <c r="L166" s="15">
        <v>968093</v>
      </c>
      <c r="M166" s="15">
        <v>2804859</v>
      </c>
      <c r="N166" s="14">
        <v>5182</v>
      </c>
      <c r="O166" s="16">
        <v>56.5</v>
      </c>
      <c r="P166" s="17">
        <v>0.33300000000000002</v>
      </c>
      <c r="Q166" s="17">
        <v>0.311</v>
      </c>
      <c r="R166" s="15">
        <v>129.1</v>
      </c>
      <c r="S166" s="15">
        <v>374</v>
      </c>
    </row>
    <row r="167" spans="1:19" x14ac:dyDescent="0.3">
      <c r="A167" s="9" t="s">
        <v>106</v>
      </c>
      <c r="B167" s="9" t="s">
        <v>107</v>
      </c>
      <c r="C167" s="9">
        <v>250</v>
      </c>
      <c r="D167" s="9" t="s">
        <v>97</v>
      </c>
      <c r="E167" s="9">
        <v>2024</v>
      </c>
      <c r="F167" s="9" t="s">
        <v>87</v>
      </c>
      <c r="G167" s="13">
        <v>0.75900000000000001</v>
      </c>
      <c r="H167" s="11">
        <v>443</v>
      </c>
      <c r="I167" s="11">
        <v>336</v>
      </c>
      <c r="J167" s="11">
        <v>2517519</v>
      </c>
      <c r="K167" s="11">
        <v>597289</v>
      </c>
      <c r="L167" s="11">
        <v>1190550</v>
      </c>
      <c r="M167" s="11">
        <v>3114808</v>
      </c>
      <c r="N167" s="9">
        <v>5689</v>
      </c>
      <c r="O167" s="12">
        <v>72.8</v>
      </c>
      <c r="P167" s="13">
        <v>0.30499999999999999</v>
      </c>
      <c r="Q167" s="13">
        <v>0.30299999999999999</v>
      </c>
      <c r="R167" s="11">
        <v>158.69999999999999</v>
      </c>
      <c r="S167" s="11">
        <v>415.3</v>
      </c>
    </row>
    <row r="168" spans="1:19" x14ac:dyDescent="0.3">
      <c r="A168" s="14" t="s">
        <v>106</v>
      </c>
      <c r="B168" s="14" t="s">
        <v>107</v>
      </c>
      <c r="C168" s="14">
        <v>250</v>
      </c>
      <c r="D168" s="14" t="s">
        <v>98</v>
      </c>
      <c r="E168" s="14">
        <v>2024</v>
      </c>
      <c r="F168" s="14" t="s">
        <v>87</v>
      </c>
      <c r="G168" s="17">
        <v>0.76500000000000001</v>
      </c>
      <c r="H168" s="15">
        <v>483</v>
      </c>
      <c r="I168" s="15">
        <v>369</v>
      </c>
      <c r="J168" s="15">
        <v>2770082</v>
      </c>
      <c r="K168" s="15">
        <v>638056</v>
      </c>
      <c r="L168" s="15">
        <v>1095111</v>
      </c>
      <c r="M168" s="15">
        <v>3408137</v>
      </c>
      <c r="N168" s="14">
        <v>5740</v>
      </c>
      <c r="O168" s="16">
        <v>69.7</v>
      </c>
      <c r="P168" s="17">
        <v>0.34899999999999998</v>
      </c>
      <c r="Q168" s="17">
        <v>0.29299999999999998</v>
      </c>
      <c r="R168" s="15">
        <v>146</v>
      </c>
      <c r="S168" s="15">
        <v>454.4</v>
      </c>
    </row>
    <row r="169" spans="1:19" x14ac:dyDescent="0.3">
      <c r="A169" s="9" t="s">
        <v>106</v>
      </c>
      <c r="B169" s="9" t="s">
        <v>107</v>
      </c>
      <c r="C169" s="9">
        <v>250</v>
      </c>
      <c r="D169" s="9" t="s">
        <v>99</v>
      </c>
      <c r="E169" s="9">
        <v>2024</v>
      </c>
      <c r="F169" s="9" t="s">
        <v>87</v>
      </c>
      <c r="G169" s="13">
        <v>0.71299999999999997</v>
      </c>
      <c r="H169" s="11">
        <v>454</v>
      </c>
      <c r="I169" s="11">
        <v>323</v>
      </c>
      <c r="J169" s="11">
        <v>2425951</v>
      </c>
      <c r="K169" s="11">
        <v>661323</v>
      </c>
      <c r="L169" s="11">
        <v>1263752</v>
      </c>
      <c r="M169" s="11">
        <v>3087273</v>
      </c>
      <c r="N169" s="9">
        <v>5346</v>
      </c>
      <c r="O169" s="12">
        <v>65.099999999999994</v>
      </c>
      <c r="P169" s="13">
        <v>0.29499999999999998</v>
      </c>
      <c r="Q169" s="13">
        <v>0.27900000000000003</v>
      </c>
      <c r="R169" s="11">
        <v>168.5</v>
      </c>
      <c r="S169" s="11">
        <v>411.6</v>
      </c>
    </row>
    <row r="170" spans="1:19" x14ac:dyDescent="0.3">
      <c r="A170" s="14" t="s">
        <v>106</v>
      </c>
      <c r="B170" s="14" t="s">
        <v>107</v>
      </c>
      <c r="C170" s="14">
        <v>250</v>
      </c>
      <c r="D170" s="14" t="s">
        <v>100</v>
      </c>
      <c r="E170" s="14">
        <v>2024</v>
      </c>
      <c r="F170" s="14" t="s">
        <v>87</v>
      </c>
      <c r="G170" s="17">
        <v>0.77800000000000002</v>
      </c>
      <c r="H170" s="15">
        <v>491</v>
      </c>
      <c r="I170" s="15">
        <v>382</v>
      </c>
      <c r="J170" s="15">
        <v>2866597</v>
      </c>
      <c r="K170" s="15">
        <v>632325</v>
      </c>
      <c r="L170" s="15">
        <v>1176597</v>
      </c>
      <c r="M170" s="15">
        <v>3498921</v>
      </c>
      <c r="N170" s="14">
        <v>5834</v>
      </c>
      <c r="O170" s="16">
        <v>62.6</v>
      </c>
      <c r="P170" s="17">
        <v>0.33400000000000002</v>
      </c>
      <c r="Q170" s="17">
        <v>0.27100000000000002</v>
      </c>
      <c r="R170" s="15">
        <v>156.9</v>
      </c>
      <c r="S170" s="15">
        <v>466.5</v>
      </c>
    </row>
    <row r="171" spans="1:19" x14ac:dyDescent="0.3">
      <c r="A171" s="9" t="s">
        <v>108</v>
      </c>
      <c r="B171" s="9" t="s">
        <v>109</v>
      </c>
      <c r="C171" s="9">
        <v>280</v>
      </c>
      <c r="D171" s="9" t="s">
        <v>86</v>
      </c>
      <c r="E171" s="9">
        <v>2023</v>
      </c>
      <c r="F171" s="9" t="s">
        <v>87</v>
      </c>
      <c r="G171" s="10">
        <v>0.51900000000000002</v>
      </c>
      <c r="H171" s="11">
        <v>427</v>
      </c>
      <c r="I171" s="11">
        <v>222</v>
      </c>
      <c r="J171" s="11">
        <v>1863524</v>
      </c>
      <c r="K171" s="11">
        <v>396437</v>
      </c>
      <c r="L171" s="11">
        <v>804297</v>
      </c>
      <c r="M171" s="11">
        <v>2259961</v>
      </c>
      <c r="N171" s="9">
        <v>4361</v>
      </c>
      <c r="O171" s="12">
        <v>64.599999999999994</v>
      </c>
      <c r="P171" s="13">
        <v>0.32300000000000001</v>
      </c>
      <c r="Q171" s="13">
        <v>0.28299999999999997</v>
      </c>
      <c r="R171" s="11">
        <v>95.7</v>
      </c>
      <c r="S171" s="11">
        <v>269</v>
      </c>
    </row>
    <row r="172" spans="1:19" x14ac:dyDescent="0.3">
      <c r="A172" s="14" t="s">
        <v>108</v>
      </c>
      <c r="B172" s="14" t="s">
        <v>109</v>
      </c>
      <c r="C172" s="14">
        <v>280</v>
      </c>
      <c r="D172" s="14" t="s">
        <v>88</v>
      </c>
      <c r="E172" s="14">
        <v>2023</v>
      </c>
      <c r="F172" s="14" t="s">
        <v>89</v>
      </c>
      <c r="G172" s="10">
        <v>0.56799999999999995</v>
      </c>
      <c r="H172" s="15">
        <v>459</v>
      </c>
      <c r="I172" s="15">
        <v>261</v>
      </c>
      <c r="J172" s="15">
        <v>2189117</v>
      </c>
      <c r="K172" s="15">
        <v>571951</v>
      </c>
      <c r="L172" s="15">
        <v>908619</v>
      </c>
      <c r="M172" s="15">
        <v>2761068</v>
      </c>
      <c r="N172" s="14">
        <v>4772</v>
      </c>
      <c r="O172" s="16">
        <v>69.400000000000006</v>
      </c>
      <c r="P172" s="17">
        <v>0.313</v>
      </c>
      <c r="Q172" s="17">
        <v>0.28999999999999998</v>
      </c>
      <c r="R172" s="15">
        <v>108.2</v>
      </c>
      <c r="S172" s="15">
        <v>328.7</v>
      </c>
    </row>
    <row r="173" spans="1:19" x14ac:dyDescent="0.3">
      <c r="A173" s="9" t="s">
        <v>108</v>
      </c>
      <c r="B173" s="9" t="s">
        <v>109</v>
      </c>
      <c r="C173" s="9">
        <v>280</v>
      </c>
      <c r="D173" s="9" t="s">
        <v>90</v>
      </c>
      <c r="E173" s="9">
        <v>2023</v>
      </c>
      <c r="F173" s="9" t="s">
        <v>89</v>
      </c>
      <c r="G173" s="18">
        <v>0.91</v>
      </c>
      <c r="H173" s="11">
        <v>666</v>
      </c>
      <c r="I173" s="11">
        <v>606</v>
      </c>
      <c r="J173" s="11">
        <v>5093848</v>
      </c>
      <c r="K173" s="11">
        <v>1098317</v>
      </c>
      <c r="L173" s="11">
        <v>2243349</v>
      </c>
      <c r="M173" s="11">
        <v>6192165</v>
      </c>
      <c r="N173" s="9">
        <v>7644</v>
      </c>
      <c r="O173" s="12">
        <v>67.2</v>
      </c>
      <c r="P173" s="13">
        <v>0.34499999999999997</v>
      </c>
      <c r="Q173" s="13">
        <v>0.317</v>
      </c>
      <c r="R173" s="11">
        <v>267.10000000000002</v>
      </c>
      <c r="S173" s="11">
        <v>737.2</v>
      </c>
    </row>
    <row r="174" spans="1:19" x14ac:dyDescent="0.3">
      <c r="A174" s="14" t="s">
        <v>108</v>
      </c>
      <c r="B174" s="14" t="s">
        <v>109</v>
      </c>
      <c r="C174" s="14">
        <v>280</v>
      </c>
      <c r="D174" s="14" t="s">
        <v>91</v>
      </c>
      <c r="E174" s="14">
        <v>2023</v>
      </c>
      <c r="F174" s="14" t="s">
        <v>87</v>
      </c>
      <c r="G174" s="10">
        <v>0.58099999999999996</v>
      </c>
      <c r="H174" s="15">
        <v>472</v>
      </c>
      <c r="I174" s="15">
        <v>275</v>
      </c>
      <c r="J174" s="15">
        <v>2305920</v>
      </c>
      <c r="K174" s="15">
        <v>584621</v>
      </c>
      <c r="L174" s="15">
        <v>1134953</v>
      </c>
      <c r="M174" s="15">
        <v>2890541</v>
      </c>
      <c r="N174" s="14">
        <v>4883</v>
      </c>
      <c r="O174" s="16">
        <v>56.1</v>
      </c>
      <c r="P174" s="17">
        <v>0.317</v>
      </c>
      <c r="Q174" s="17">
        <v>0.28699999999999998</v>
      </c>
      <c r="R174" s="15">
        <v>135.1</v>
      </c>
      <c r="S174" s="15">
        <v>344.1</v>
      </c>
    </row>
    <row r="175" spans="1:19" x14ac:dyDescent="0.3">
      <c r="A175" s="9" t="s">
        <v>108</v>
      </c>
      <c r="B175" s="9" t="s">
        <v>109</v>
      </c>
      <c r="C175" s="9">
        <v>280</v>
      </c>
      <c r="D175" s="9" t="s">
        <v>92</v>
      </c>
      <c r="E175" s="9">
        <v>2023</v>
      </c>
      <c r="F175" s="9" t="s">
        <v>87</v>
      </c>
      <c r="G175" s="10">
        <v>0.57999999999999996</v>
      </c>
      <c r="H175" s="11">
        <v>442</v>
      </c>
      <c r="I175" s="11">
        <v>257</v>
      </c>
      <c r="J175" s="11">
        <v>2154807</v>
      </c>
      <c r="K175" s="11">
        <v>612627</v>
      </c>
      <c r="L175" s="11">
        <v>1120038</v>
      </c>
      <c r="M175" s="11">
        <v>2767434</v>
      </c>
      <c r="N175" s="9">
        <v>4870</v>
      </c>
      <c r="O175" s="12">
        <v>50.1</v>
      </c>
      <c r="P175" s="13">
        <v>0.35899999999999999</v>
      </c>
      <c r="Q175" s="13">
        <v>0.30299999999999999</v>
      </c>
      <c r="R175" s="11">
        <v>133.30000000000001</v>
      </c>
      <c r="S175" s="11">
        <v>329.5</v>
      </c>
    </row>
    <row r="176" spans="1:19" x14ac:dyDescent="0.3">
      <c r="A176" s="14" t="s">
        <v>108</v>
      </c>
      <c r="B176" s="14" t="s">
        <v>109</v>
      </c>
      <c r="C176" s="14">
        <v>280</v>
      </c>
      <c r="D176" s="14" t="s">
        <v>93</v>
      </c>
      <c r="E176" s="14">
        <v>2023</v>
      </c>
      <c r="F176" s="14" t="s">
        <v>94</v>
      </c>
      <c r="G176" s="18">
        <v>0.97</v>
      </c>
      <c r="H176" s="15">
        <v>880</v>
      </c>
      <c r="I176" s="15">
        <v>854</v>
      </c>
      <c r="J176" s="15">
        <v>7170391</v>
      </c>
      <c r="K176" s="15">
        <v>1462000</v>
      </c>
      <c r="L176" s="15">
        <v>2933995</v>
      </c>
      <c r="M176" s="15">
        <v>8632390</v>
      </c>
      <c r="N176" s="14">
        <v>8147</v>
      </c>
      <c r="O176" s="16">
        <v>40.5</v>
      </c>
      <c r="P176" s="17">
        <v>0.28299999999999997</v>
      </c>
      <c r="Q176" s="17">
        <v>0.316</v>
      </c>
      <c r="R176" s="15">
        <v>349.3</v>
      </c>
      <c r="S176" s="15">
        <v>1027.7</v>
      </c>
    </row>
    <row r="177" spans="1:19" x14ac:dyDescent="0.3">
      <c r="A177" s="9" t="s">
        <v>108</v>
      </c>
      <c r="B177" s="9" t="s">
        <v>109</v>
      </c>
      <c r="C177" s="9">
        <v>280</v>
      </c>
      <c r="D177" s="9" t="s">
        <v>95</v>
      </c>
      <c r="E177" s="9">
        <v>2023</v>
      </c>
      <c r="F177" s="9" t="s">
        <v>94</v>
      </c>
      <c r="G177" s="18">
        <v>0.97</v>
      </c>
      <c r="H177" s="11">
        <v>847</v>
      </c>
      <c r="I177" s="11">
        <v>822</v>
      </c>
      <c r="J177" s="11">
        <v>6903547</v>
      </c>
      <c r="K177" s="11">
        <v>1420417</v>
      </c>
      <c r="L177" s="11">
        <v>2747792</v>
      </c>
      <c r="M177" s="11">
        <v>8323964</v>
      </c>
      <c r="N177" s="9">
        <v>8147</v>
      </c>
      <c r="O177" s="12">
        <v>45.8</v>
      </c>
      <c r="P177" s="13">
        <v>0.33400000000000002</v>
      </c>
      <c r="Q177" s="13">
        <v>0.28100000000000003</v>
      </c>
      <c r="R177" s="11">
        <v>327.10000000000002</v>
      </c>
      <c r="S177" s="11">
        <v>990.9</v>
      </c>
    </row>
    <row r="178" spans="1:19" x14ac:dyDescent="0.3">
      <c r="A178" s="14" t="s">
        <v>108</v>
      </c>
      <c r="B178" s="14" t="s">
        <v>109</v>
      </c>
      <c r="C178" s="14">
        <v>280</v>
      </c>
      <c r="D178" s="14" t="s">
        <v>96</v>
      </c>
      <c r="E178" s="14">
        <v>2023</v>
      </c>
      <c r="F178" s="14" t="s">
        <v>87</v>
      </c>
      <c r="G178" s="17">
        <v>0.622</v>
      </c>
      <c r="H178" s="15">
        <v>485</v>
      </c>
      <c r="I178" s="15">
        <v>301</v>
      </c>
      <c r="J178" s="15">
        <v>2530186</v>
      </c>
      <c r="K178" s="15">
        <v>560050</v>
      </c>
      <c r="L178" s="15">
        <v>1083302</v>
      </c>
      <c r="M178" s="15">
        <v>3090236</v>
      </c>
      <c r="N178" s="14">
        <v>5221</v>
      </c>
      <c r="O178" s="16">
        <v>64.400000000000006</v>
      </c>
      <c r="P178" s="17">
        <v>0.28699999999999998</v>
      </c>
      <c r="Q178" s="17">
        <v>0.307</v>
      </c>
      <c r="R178" s="15">
        <v>129</v>
      </c>
      <c r="S178" s="15">
        <v>367.9</v>
      </c>
    </row>
    <row r="179" spans="1:19" x14ac:dyDescent="0.3">
      <c r="A179" s="9" t="s">
        <v>108</v>
      </c>
      <c r="B179" s="9" t="s">
        <v>109</v>
      </c>
      <c r="C179" s="9">
        <v>280</v>
      </c>
      <c r="D179" s="9" t="s">
        <v>97</v>
      </c>
      <c r="E179" s="9">
        <v>2023</v>
      </c>
      <c r="F179" s="9" t="s">
        <v>87</v>
      </c>
      <c r="G179" s="13">
        <v>0.65300000000000002</v>
      </c>
      <c r="H179" s="11">
        <v>510</v>
      </c>
      <c r="I179" s="11">
        <v>333</v>
      </c>
      <c r="J179" s="11">
        <v>2794535</v>
      </c>
      <c r="K179" s="11">
        <v>638700</v>
      </c>
      <c r="L179" s="11">
        <v>1309482</v>
      </c>
      <c r="M179" s="11">
        <v>3433235</v>
      </c>
      <c r="N179" s="9">
        <v>5482</v>
      </c>
      <c r="O179" s="12">
        <v>53.1</v>
      </c>
      <c r="P179" s="13">
        <v>0.29799999999999999</v>
      </c>
      <c r="Q179" s="13">
        <v>0.29699999999999999</v>
      </c>
      <c r="R179" s="11">
        <v>155.9</v>
      </c>
      <c r="S179" s="11">
        <v>408.7</v>
      </c>
    </row>
    <row r="180" spans="1:19" x14ac:dyDescent="0.3">
      <c r="A180" s="14" t="s">
        <v>108</v>
      </c>
      <c r="B180" s="14" t="s">
        <v>109</v>
      </c>
      <c r="C180" s="14">
        <v>280</v>
      </c>
      <c r="D180" s="14" t="s">
        <v>98</v>
      </c>
      <c r="E180" s="14">
        <v>2023</v>
      </c>
      <c r="F180" s="14" t="s">
        <v>87</v>
      </c>
      <c r="G180" s="17">
        <v>0.65500000000000003</v>
      </c>
      <c r="H180" s="15">
        <v>515</v>
      </c>
      <c r="I180" s="15">
        <v>338</v>
      </c>
      <c r="J180" s="15">
        <v>2835274</v>
      </c>
      <c r="K180" s="15">
        <v>833307</v>
      </c>
      <c r="L180" s="15">
        <v>1477127</v>
      </c>
      <c r="M180" s="15">
        <v>3668581</v>
      </c>
      <c r="N180" s="14">
        <v>5502</v>
      </c>
      <c r="O180" s="16">
        <v>58.7</v>
      </c>
      <c r="P180" s="17">
        <v>0.34599999999999997</v>
      </c>
      <c r="Q180" s="17">
        <v>0.30099999999999999</v>
      </c>
      <c r="R180" s="15">
        <v>175.8</v>
      </c>
      <c r="S180" s="15">
        <v>436.7</v>
      </c>
    </row>
    <row r="181" spans="1:19" x14ac:dyDescent="0.3">
      <c r="A181" s="9" t="s">
        <v>108</v>
      </c>
      <c r="B181" s="9" t="s">
        <v>109</v>
      </c>
      <c r="C181" s="9">
        <v>280</v>
      </c>
      <c r="D181" s="9" t="s">
        <v>99</v>
      </c>
      <c r="E181" s="9">
        <v>2023</v>
      </c>
      <c r="F181" s="9" t="s">
        <v>87</v>
      </c>
      <c r="G181" s="13">
        <v>0.60699999999999998</v>
      </c>
      <c r="H181" s="11">
        <v>483</v>
      </c>
      <c r="I181" s="11">
        <v>293</v>
      </c>
      <c r="J181" s="11">
        <v>2461679</v>
      </c>
      <c r="K181" s="11">
        <v>665016</v>
      </c>
      <c r="L181" s="11">
        <v>1008207</v>
      </c>
      <c r="M181" s="11">
        <v>3126695</v>
      </c>
      <c r="N181" s="9">
        <v>5098</v>
      </c>
      <c r="O181" s="12">
        <v>65.099999999999994</v>
      </c>
      <c r="P181" s="13">
        <v>0.33500000000000002</v>
      </c>
      <c r="Q181" s="13">
        <v>0.27200000000000002</v>
      </c>
      <c r="R181" s="11">
        <v>120</v>
      </c>
      <c r="S181" s="11">
        <v>372.2</v>
      </c>
    </row>
    <row r="182" spans="1:19" x14ac:dyDescent="0.3">
      <c r="A182" s="14" t="s">
        <v>108</v>
      </c>
      <c r="B182" s="14" t="s">
        <v>109</v>
      </c>
      <c r="C182" s="14">
        <v>280</v>
      </c>
      <c r="D182" s="14" t="s">
        <v>100</v>
      </c>
      <c r="E182" s="14">
        <v>2023</v>
      </c>
      <c r="F182" s="14" t="s">
        <v>87</v>
      </c>
      <c r="G182" s="17">
        <v>0.72</v>
      </c>
      <c r="H182" s="15">
        <v>491</v>
      </c>
      <c r="I182" s="15">
        <v>354</v>
      </c>
      <c r="J182" s="15">
        <v>2969011</v>
      </c>
      <c r="K182" s="15">
        <v>742662</v>
      </c>
      <c r="L182" s="15">
        <v>1319804</v>
      </c>
      <c r="M182" s="15">
        <v>3711674</v>
      </c>
      <c r="N182" s="14">
        <v>6045</v>
      </c>
      <c r="O182" s="16">
        <v>50</v>
      </c>
      <c r="P182" s="17">
        <v>0.312</v>
      </c>
      <c r="Q182" s="17">
        <v>0.27300000000000002</v>
      </c>
      <c r="R182" s="15">
        <v>157.1</v>
      </c>
      <c r="S182" s="15">
        <v>441.9</v>
      </c>
    </row>
    <row r="183" spans="1:19" x14ac:dyDescent="0.3">
      <c r="A183" s="9" t="s">
        <v>108</v>
      </c>
      <c r="B183" s="9" t="s">
        <v>109</v>
      </c>
      <c r="C183" s="9">
        <v>280</v>
      </c>
      <c r="D183" s="9" t="s">
        <v>86</v>
      </c>
      <c r="E183" s="9">
        <v>2024</v>
      </c>
      <c r="F183" s="9" t="s">
        <v>87</v>
      </c>
      <c r="G183" s="13">
        <v>0.60599999999999998</v>
      </c>
      <c r="H183" s="11">
        <v>447</v>
      </c>
      <c r="I183" s="11">
        <v>271</v>
      </c>
      <c r="J183" s="11">
        <v>2275545</v>
      </c>
      <c r="K183" s="11">
        <v>669612</v>
      </c>
      <c r="L183" s="11">
        <v>1015850</v>
      </c>
      <c r="M183" s="11">
        <v>2945156</v>
      </c>
      <c r="N183" s="9">
        <v>5091</v>
      </c>
      <c r="O183" s="12">
        <v>49.3</v>
      </c>
      <c r="P183" s="13">
        <v>0.29899999999999999</v>
      </c>
      <c r="Q183" s="13">
        <v>0.313</v>
      </c>
      <c r="R183" s="11">
        <v>120.9</v>
      </c>
      <c r="S183" s="11">
        <v>350.6</v>
      </c>
    </row>
    <row r="184" spans="1:19" x14ac:dyDescent="0.3">
      <c r="A184" s="14" t="s">
        <v>108</v>
      </c>
      <c r="B184" s="14" t="s">
        <v>109</v>
      </c>
      <c r="C184" s="14">
        <v>280</v>
      </c>
      <c r="D184" s="14" t="s">
        <v>88</v>
      </c>
      <c r="E184" s="14">
        <v>2024</v>
      </c>
      <c r="F184" s="14" t="s">
        <v>89</v>
      </c>
      <c r="G184" s="17">
        <v>0.67400000000000004</v>
      </c>
      <c r="H184" s="15">
        <v>456</v>
      </c>
      <c r="I184" s="15">
        <v>308</v>
      </c>
      <c r="J184" s="15">
        <v>2582939</v>
      </c>
      <c r="K184" s="15">
        <v>561480</v>
      </c>
      <c r="L184" s="15">
        <v>983375</v>
      </c>
      <c r="M184" s="15">
        <v>3144419</v>
      </c>
      <c r="N184" s="14">
        <v>5664</v>
      </c>
      <c r="O184" s="16">
        <v>70.3</v>
      </c>
      <c r="P184" s="17">
        <v>0.30199999999999999</v>
      </c>
      <c r="Q184" s="17">
        <v>0.32400000000000001</v>
      </c>
      <c r="R184" s="15">
        <v>117.1</v>
      </c>
      <c r="S184" s="15">
        <v>374.3</v>
      </c>
    </row>
    <row r="185" spans="1:19" x14ac:dyDescent="0.3">
      <c r="A185" s="9" t="s">
        <v>108</v>
      </c>
      <c r="B185" s="9" t="s">
        <v>109</v>
      </c>
      <c r="C185" s="9">
        <v>280</v>
      </c>
      <c r="D185" s="9" t="s">
        <v>90</v>
      </c>
      <c r="E185" s="9">
        <v>2024</v>
      </c>
      <c r="F185" s="9" t="s">
        <v>89</v>
      </c>
      <c r="G185" s="18">
        <v>0.97</v>
      </c>
      <c r="H185" s="11">
        <v>699</v>
      </c>
      <c r="I185" s="11">
        <v>678</v>
      </c>
      <c r="J185" s="11">
        <v>5695659</v>
      </c>
      <c r="K185" s="11">
        <v>1405498</v>
      </c>
      <c r="L185" s="11">
        <v>2754434</v>
      </c>
      <c r="M185" s="11">
        <v>7101157</v>
      </c>
      <c r="N185" s="9">
        <v>8147</v>
      </c>
      <c r="O185" s="12">
        <v>57.4</v>
      </c>
      <c r="P185" s="13">
        <v>0.29499999999999998</v>
      </c>
      <c r="Q185" s="13">
        <v>0.32600000000000001</v>
      </c>
      <c r="R185" s="11">
        <v>327.9</v>
      </c>
      <c r="S185" s="11">
        <v>845.4</v>
      </c>
    </row>
    <row r="186" spans="1:19" x14ac:dyDescent="0.3">
      <c r="A186" s="14" t="s">
        <v>108</v>
      </c>
      <c r="B186" s="14" t="s">
        <v>109</v>
      </c>
      <c r="C186" s="14">
        <v>280</v>
      </c>
      <c r="D186" s="14" t="s">
        <v>91</v>
      </c>
      <c r="E186" s="14">
        <v>2024</v>
      </c>
      <c r="F186" s="14" t="s">
        <v>87</v>
      </c>
      <c r="G186" s="17">
        <v>0.68700000000000006</v>
      </c>
      <c r="H186" s="15">
        <v>486</v>
      </c>
      <c r="I186" s="15">
        <v>334</v>
      </c>
      <c r="J186" s="15">
        <v>2807751</v>
      </c>
      <c r="K186" s="15">
        <v>754422</v>
      </c>
      <c r="L186" s="15">
        <v>1426047</v>
      </c>
      <c r="M186" s="15">
        <v>3562173</v>
      </c>
      <c r="N186" s="14">
        <v>5774</v>
      </c>
      <c r="O186" s="16">
        <v>65.400000000000006</v>
      </c>
      <c r="P186" s="17">
        <v>0.35299999999999998</v>
      </c>
      <c r="Q186" s="17">
        <v>0.27</v>
      </c>
      <c r="R186" s="15">
        <v>169.8</v>
      </c>
      <c r="S186" s="15">
        <v>424.1</v>
      </c>
    </row>
    <row r="187" spans="1:19" x14ac:dyDescent="0.3">
      <c r="A187" s="9" t="s">
        <v>108</v>
      </c>
      <c r="B187" s="9" t="s">
        <v>109</v>
      </c>
      <c r="C187" s="9">
        <v>280</v>
      </c>
      <c r="D187" s="9" t="s">
        <v>92</v>
      </c>
      <c r="E187" s="9">
        <v>2024</v>
      </c>
      <c r="F187" s="9" t="s">
        <v>87</v>
      </c>
      <c r="G187" s="13">
        <v>0.63200000000000001</v>
      </c>
      <c r="H187" s="11">
        <v>474</v>
      </c>
      <c r="I187" s="11">
        <v>300</v>
      </c>
      <c r="J187" s="11">
        <v>2516714</v>
      </c>
      <c r="K187" s="11">
        <v>646529</v>
      </c>
      <c r="L187" s="11">
        <v>1017730</v>
      </c>
      <c r="M187" s="11">
        <v>3163243</v>
      </c>
      <c r="N187" s="9">
        <v>5312</v>
      </c>
      <c r="O187" s="12">
        <v>48.8</v>
      </c>
      <c r="P187" s="13">
        <v>0.311</v>
      </c>
      <c r="Q187" s="13">
        <v>0.309</v>
      </c>
      <c r="R187" s="11">
        <v>121.2</v>
      </c>
      <c r="S187" s="11">
        <v>376.6</v>
      </c>
    </row>
    <row r="188" spans="1:19" x14ac:dyDescent="0.3">
      <c r="A188" s="14" t="s">
        <v>108</v>
      </c>
      <c r="B188" s="14" t="s">
        <v>109</v>
      </c>
      <c r="C188" s="14">
        <v>280</v>
      </c>
      <c r="D188" s="14" t="s">
        <v>93</v>
      </c>
      <c r="E188" s="14">
        <v>2024</v>
      </c>
      <c r="F188" s="14" t="s">
        <v>94</v>
      </c>
      <c r="G188" s="18">
        <v>0.97</v>
      </c>
      <c r="H188" s="15">
        <v>939</v>
      </c>
      <c r="I188" s="15">
        <v>911</v>
      </c>
      <c r="J188" s="15">
        <v>7652259</v>
      </c>
      <c r="K188" s="15">
        <v>1855340</v>
      </c>
      <c r="L188" s="15">
        <v>3758198</v>
      </c>
      <c r="M188" s="15">
        <v>9507599</v>
      </c>
      <c r="N188" s="14">
        <v>8147</v>
      </c>
      <c r="O188" s="16">
        <v>52.1</v>
      </c>
      <c r="P188" s="17">
        <v>0.28899999999999998</v>
      </c>
      <c r="Q188" s="17">
        <v>0.308</v>
      </c>
      <c r="R188" s="15">
        <v>447.4</v>
      </c>
      <c r="S188" s="15">
        <v>1131.9000000000001</v>
      </c>
    </row>
    <row r="189" spans="1:19" x14ac:dyDescent="0.3">
      <c r="A189" s="9" t="s">
        <v>108</v>
      </c>
      <c r="B189" s="9" t="s">
        <v>109</v>
      </c>
      <c r="C189" s="9">
        <v>280</v>
      </c>
      <c r="D189" s="9" t="s">
        <v>95</v>
      </c>
      <c r="E189" s="9">
        <v>2024</v>
      </c>
      <c r="F189" s="9" t="s">
        <v>94</v>
      </c>
      <c r="G189" s="18">
        <v>0.97</v>
      </c>
      <c r="H189" s="11">
        <v>940</v>
      </c>
      <c r="I189" s="11">
        <v>912</v>
      </c>
      <c r="J189" s="11">
        <v>7656363</v>
      </c>
      <c r="K189" s="11">
        <v>2148036</v>
      </c>
      <c r="L189" s="11">
        <v>3428174</v>
      </c>
      <c r="M189" s="11">
        <v>9804400</v>
      </c>
      <c r="N189" s="9">
        <v>8147</v>
      </c>
      <c r="O189" s="12">
        <v>61.7</v>
      </c>
      <c r="P189" s="13">
        <v>0.28399999999999997</v>
      </c>
      <c r="Q189" s="13">
        <v>0.32900000000000001</v>
      </c>
      <c r="R189" s="11">
        <v>408.1</v>
      </c>
      <c r="S189" s="11">
        <v>1167.2</v>
      </c>
    </row>
    <row r="190" spans="1:19" x14ac:dyDescent="0.3">
      <c r="A190" s="14" t="s">
        <v>108</v>
      </c>
      <c r="B190" s="14" t="s">
        <v>109</v>
      </c>
      <c r="C190" s="14">
        <v>280</v>
      </c>
      <c r="D190" s="14" t="s">
        <v>96</v>
      </c>
      <c r="E190" s="14">
        <v>2024</v>
      </c>
      <c r="F190" s="14" t="s">
        <v>87</v>
      </c>
      <c r="G190" s="17">
        <v>0.66900000000000004</v>
      </c>
      <c r="H190" s="15">
        <v>522</v>
      </c>
      <c r="I190" s="15">
        <v>349</v>
      </c>
      <c r="J190" s="15">
        <v>2933252</v>
      </c>
      <c r="K190" s="15">
        <v>754181</v>
      </c>
      <c r="L190" s="15">
        <v>1155727</v>
      </c>
      <c r="M190" s="15">
        <v>3687433</v>
      </c>
      <c r="N190" s="14">
        <v>5622</v>
      </c>
      <c r="O190" s="16">
        <v>70.099999999999994</v>
      </c>
      <c r="P190" s="17">
        <v>0.31900000000000001</v>
      </c>
      <c r="Q190" s="17">
        <v>0.32800000000000001</v>
      </c>
      <c r="R190" s="15">
        <v>137.6</v>
      </c>
      <c r="S190" s="15">
        <v>439</v>
      </c>
    </row>
    <row r="191" spans="1:19" x14ac:dyDescent="0.3">
      <c r="A191" s="9" t="s">
        <v>108</v>
      </c>
      <c r="B191" s="9" t="s">
        <v>109</v>
      </c>
      <c r="C191" s="9">
        <v>280</v>
      </c>
      <c r="D191" s="9" t="s">
        <v>97</v>
      </c>
      <c r="E191" s="9">
        <v>2024</v>
      </c>
      <c r="F191" s="9" t="s">
        <v>87</v>
      </c>
      <c r="G191" s="13">
        <v>0.73299999999999998</v>
      </c>
      <c r="H191" s="11">
        <v>511</v>
      </c>
      <c r="I191" s="11">
        <v>375</v>
      </c>
      <c r="J191" s="11">
        <v>3145946</v>
      </c>
      <c r="K191" s="11">
        <v>706557</v>
      </c>
      <c r="L191" s="11">
        <v>1559664</v>
      </c>
      <c r="M191" s="11">
        <v>3852503</v>
      </c>
      <c r="N191" s="9">
        <v>6157</v>
      </c>
      <c r="O191" s="12">
        <v>53.6</v>
      </c>
      <c r="P191" s="13">
        <v>0.35499999999999998</v>
      </c>
      <c r="Q191" s="13">
        <v>0.30299999999999999</v>
      </c>
      <c r="R191" s="11">
        <v>185.7</v>
      </c>
      <c r="S191" s="11">
        <v>458.6</v>
      </c>
    </row>
    <row r="192" spans="1:19" x14ac:dyDescent="0.3">
      <c r="A192" s="14" t="s">
        <v>108</v>
      </c>
      <c r="B192" s="14" t="s">
        <v>109</v>
      </c>
      <c r="C192" s="14">
        <v>280</v>
      </c>
      <c r="D192" s="14" t="s">
        <v>98</v>
      </c>
      <c r="E192" s="14">
        <v>2024</v>
      </c>
      <c r="F192" s="14" t="s">
        <v>87</v>
      </c>
      <c r="G192" s="17">
        <v>0.72799999999999998</v>
      </c>
      <c r="H192" s="15">
        <v>529</v>
      </c>
      <c r="I192" s="15">
        <v>385</v>
      </c>
      <c r="J192" s="15">
        <v>3233226</v>
      </c>
      <c r="K192" s="15">
        <v>702787</v>
      </c>
      <c r="L192" s="15">
        <v>1190007</v>
      </c>
      <c r="M192" s="15">
        <v>3936013</v>
      </c>
      <c r="N192" s="14">
        <v>6111</v>
      </c>
      <c r="O192" s="16">
        <v>51.1</v>
      </c>
      <c r="P192" s="17">
        <v>0.318</v>
      </c>
      <c r="Q192" s="17">
        <v>0.27400000000000002</v>
      </c>
      <c r="R192" s="15">
        <v>141.69999999999999</v>
      </c>
      <c r="S192" s="15">
        <v>468.6</v>
      </c>
    </row>
    <row r="193" spans="1:19" x14ac:dyDescent="0.3">
      <c r="A193" s="9" t="s">
        <v>108</v>
      </c>
      <c r="B193" s="9" t="s">
        <v>109</v>
      </c>
      <c r="C193" s="9">
        <v>280</v>
      </c>
      <c r="D193" s="9" t="s">
        <v>99</v>
      </c>
      <c r="E193" s="9">
        <v>2024</v>
      </c>
      <c r="F193" s="9" t="s">
        <v>87</v>
      </c>
      <c r="G193" s="13">
        <v>0.70899999999999996</v>
      </c>
      <c r="H193" s="11">
        <v>515</v>
      </c>
      <c r="I193" s="11">
        <v>365</v>
      </c>
      <c r="J193" s="11">
        <v>3063571</v>
      </c>
      <c r="K193" s="11">
        <v>713545</v>
      </c>
      <c r="L193" s="11">
        <v>1299061</v>
      </c>
      <c r="M193" s="11">
        <v>3777116</v>
      </c>
      <c r="N193" s="9">
        <v>5954</v>
      </c>
      <c r="O193" s="12">
        <v>62.9</v>
      </c>
      <c r="P193" s="13">
        <v>0.28899999999999998</v>
      </c>
      <c r="Q193" s="13">
        <v>0.29199999999999998</v>
      </c>
      <c r="R193" s="11">
        <v>154.69999999999999</v>
      </c>
      <c r="S193" s="11">
        <v>449.7</v>
      </c>
    </row>
    <row r="194" spans="1:19" x14ac:dyDescent="0.3">
      <c r="A194" s="14" t="s">
        <v>108</v>
      </c>
      <c r="B194" s="14" t="s">
        <v>109</v>
      </c>
      <c r="C194" s="14">
        <v>280</v>
      </c>
      <c r="D194" s="14" t="s">
        <v>100</v>
      </c>
      <c r="E194" s="14">
        <v>2024</v>
      </c>
      <c r="F194" s="14" t="s">
        <v>87</v>
      </c>
      <c r="G194" s="17">
        <v>0.77</v>
      </c>
      <c r="H194" s="15">
        <v>526</v>
      </c>
      <c r="I194" s="15">
        <v>405</v>
      </c>
      <c r="J194" s="15">
        <v>3402634</v>
      </c>
      <c r="K194" s="15">
        <v>930595</v>
      </c>
      <c r="L194" s="15">
        <v>1675219</v>
      </c>
      <c r="M194" s="15">
        <v>4333228</v>
      </c>
      <c r="N194" s="14">
        <v>6468</v>
      </c>
      <c r="O194" s="16">
        <v>60.3</v>
      </c>
      <c r="P194" s="17">
        <v>0.31900000000000001</v>
      </c>
      <c r="Q194" s="17">
        <v>0.28799999999999998</v>
      </c>
      <c r="R194" s="15">
        <v>199.4</v>
      </c>
      <c r="S194" s="15">
        <v>515.9</v>
      </c>
    </row>
    <row r="195" spans="1:19" x14ac:dyDescent="0.3">
      <c r="A195" s="9" t="s">
        <v>110</v>
      </c>
      <c r="B195" s="9" t="s">
        <v>85</v>
      </c>
      <c r="C195" s="9">
        <v>380</v>
      </c>
      <c r="D195" s="9" t="s">
        <v>86</v>
      </c>
      <c r="E195" s="9">
        <v>2023</v>
      </c>
      <c r="F195" s="9" t="s">
        <v>87</v>
      </c>
      <c r="G195" s="10">
        <v>0.55500000000000005</v>
      </c>
      <c r="H195" s="11">
        <v>493</v>
      </c>
      <c r="I195" s="11">
        <v>273</v>
      </c>
      <c r="J195" s="11">
        <v>3116444</v>
      </c>
      <c r="K195" s="11">
        <v>918296</v>
      </c>
      <c r="L195" s="11">
        <v>1575712</v>
      </c>
      <c r="M195" s="11">
        <v>4034740</v>
      </c>
      <c r="N195" s="9">
        <v>6323</v>
      </c>
      <c r="O195" s="12">
        <v>74.400000000000006</v>
      </c>
      <c r="P195" s="13">
        <v>0.35199999999999998</v>
      </c>
      <c r="Q195" s="13">
        <v>0.315</v>
      </c>
      <c r="R195" s="11">
        <v>138.19999999999999</v>
      </c>
      <c r="S195" s="11">
        <v>353.9</v>
      </c>
    </row>
    <row r="196" spans="1:19" x14ac:dyDescent="0.3">
      <c r="A196" s="14" t="s">
        <v>110</v>
      </c>
      <c r="B196" s="14" t="s">
        <v>85</v>
      </c>
      <c r="C196" s="14">
        <v>380</v>
      </c>
      <c r="D196" s="14" t="s">
        <v>88</v>
      </c>
      <c r="E196" s="14">
        <v>2023</v>
      </c>
      <c r="F196" s="14" t="s">
        <v>89</v>
      </c>
      <c r="G196" s="17">
        <v>0.62</v>
      </c>
      <c r="H196" s="15">
        <v>576</v>
      </c>
      <c r="I196" s="15">
        <v>357</v>
      </c>
      <c r="J196" s="15">
        <v>4072414</v>
      </c>
      <c r="K196" s="15">
        <v>1019302</v>
      </c>
      <c r="L196" s="15">
        <v>1696057</v>
      </c>
      <c r="M196" s="15">
        <v>5091716</v>
      </c>
      <c r="N196" s="14">
        <v>7068</v>
      </c>
      <c r="O196" s="16">
        <v>57.3</v>
      </c>
      <c r="P196" s="17">
        <v>0.30599999999999999</v>
      </c>
      <c r="Q196" s="17">
        <v>0.32900000000000001</v>
      </c>
      <c r="R196" s="15">
        <v>148.80000000000001</v>
      </c>
      <c r="S196" s="15">
        <v>446.6</v>
      </c>
    </row>
    <row r="197" spans="1:19" x14ac:dyDescent="0.3">
      <c r="A197" s="9" t="s">
        <v>110</v>
      </c>
      <c r="B197" s="9" t="s">
        <v>85</v>
      </c>
      <c r="C197" s="9">
        <v>380</v>
      </c>
      <c r="D197" s="9" t="s">
        <v>90</v>
      </c>
      <c r="E197" s="9">
        <v>2023</v>
      </c>
      <c r="F197" s="9" t="s">
        <v>89</v>
      </c>
      <c r="G197" s="18">
        <v>0.94599999999999995</v>
      </c>
      <c r="H197" s="11">
        <v>877</v>
      </c>
      <c r="I197" s="11">
        <v>829</v>
      </c>
      <c r="J197" s="11">
        <v>9454928</v>
      </c>
      <c r="K197" s="11">
        <v>2408484</v>
      </c>
      <c r="L197" s="11">
        <v>4136958</v>
      </c>
      <c r="M197" s="11">
        <v>11863412</v>
      </c>
      <c r="N197" s="9">
        <v>10779</v>
      </c>
      <c r="O197" s="12">
        <v>74.400000000000006</v>
      </c>
      <c r="P197" s="13">
        <v>0.29799999999999999</v>
      </c>
      <c r="Q197" s="13">
        <v>0.28799999999999998</v>
      </c>
      <c r="R197" s="11">
        <v>362.9</v>
      </c>
      <c r="S197" s="11">
        <v>1040.7</v>
      </c>
    </row>
    <row r="198" spans="1:19" x14ac:dyDescent="0.3">
      <c r="A198" s="14" t="s">
        <v>110</v>
      </c>
      <c r="B198" s="14" t="s">
        <v>85</v>
      </c>
      <c r="C198" s="14">
        <v>380</v>
      </c>
      <c r="D198" s="14" t="s">
        <v>91</v>
      </c>
      <c r="E198" s="14">
        <v>2023</v>
      </c>
      <c r="F198" s="14" t="s">
        <v>87</v>
      </c>
      <c r="G198" s="10">
        <v>0.59</v>
      </c>
      <c r="H198" s="15">
        <v>570</v>
      </c>
      <c r="I198" s="15">
        <v>336</v>
      </c>
      <c r="J198" s="15">
        <v>3832472</v>
      </c>
      <c r="K198" s="15">
        <v>869545</v>
      </c>
      <c r="L198" s="15">
        <v>1721192</v>
      </c>
      <c r="M198" s="15">
        <v>4702017</v>
      </c>
      <c r="N198" s="14">
        <v>6723</v>
      </c>
      <c r="O198" s="16">
        <v>65.3</v>
      </c>
      <c r="P198" s="17">
        <v>0.35399999999999998</v>
      </c>
      <c r="Q198" s="17">
        <v>0.29299999999999998</v>
      </c>
      <c r="R198" s="15">
        <v>151</v>
      </c>
      <c r="S198" s="15">
        <v>412.5</v>
      </c>
    </row>
    <row r="199" spans="1:19" x14ac:dyDescent="0.3">
      <c r="A199" s="9" t="s">
        <v>110</v>
      </c>
      <c r="B199" s="9" t="s">
        <v>85</v>
      </c>
      <c r="C199" s="9">
        <v>380</v>
      </c>
      <c r="D199" s="9" t="s">
        <v>92</v>
      </c>
      <c r="E199" s="9">
        <v>2023</v>
      </c>
      <c r="F199" s="9" t="s">
        <v>87</v>
      </c>
      <c r="G199" s="10">
        <v>0.59899999999999998</v>
      </c>
      <c r="H199" s="11">
        <v>553</v>
      </c>
      <c r="I199" s="11">
        <v>331</v>
      </c>
      <c r="J199" s="11">
        <v>3777895</v>
      </c>
      <c r="K199" s="11">
        <v>893797</v>
      </c>
      <c r="L199" s="11">
        <v>1677515</v>
      </c>
      <c r="M199" s="11">
        <v>4671693</v>
      </c>
      <c r="N199" s="9">
        <v>6833</v>
      </c>
      <c r="O199" s="12">
        <v>48.6</v>
      </c>
      <c r="P199" s="13">
        <v>0.28299999999999997</v>
      </c>
      <c r="Q199" s="13">
        <v>0.29399999999999998</v>
      </c>
      <c r="R199" s="11">
        <v>147.19999999999999</v>
      </c>
      <c r="S199" s="11">
        <v>409.8</v>
      </c>
    </row>
    <row r="200" spans="1:19" x14ac:dyDescent="0.3">
      <c r="A200" s="14" t="s">
        <v>110</v>
      </c>
      <c r="B200" s="14" t="s">
        <v>85</v>
      </c>
      <c r="C200" s="14">
        <v>380</v>
      </c>
      <c r="D200" s="14" t="s">
        <v>93</v>
      </c>
      <c r="E200" s="14">
        <v>2023</v>
      </c>
      <c r="F200" s="14" t="s">
        <v>94</v>
      </c>
      <c r="G200" s="18">
        <v>0.97</v>
      </c>
      <c r="H200" s="15">
        <v>1028</v>
      </c>
      <c r="I200" s="15">
        <v>997</v>
      </c>
      <c r="J200" s="15">
        <v>11368416</v>
      </c>
      <c r="K200" s="15">
        <v>2370355</v>
      </c>
      <c r="L200" s="15">
        <v>5339232</v>
      </c>
      <c r="M200" s="15">
        <v>13738771</v>
      </c>
      <c r="N200" s="14">
        <v>11057</v>
      </c>
      <c r="O200" s="16">
        <v>42.4</v>
      </c>
      <c r="P200" s="17">
        <v>0.28999999999999998</v>
      </c>
      <c r="Q200" s="17">
        <v>0.315</v>
      </c>
      <c r="R200" s="15">
        <v>468.4</v>
      </c>
      <c r="S200" s="15">
        <v>1205.2</v>
      </c>
    </row>
    <row r="201" spans="1:19" x14ac:dyDescent="0.3">
      <c r="A201" s="9" t="s">
        <v>110</v>
      </c>
      <c r="B201" s="9" t="s">
        <v>85</v>
      </c>
      <c r="C201" s="9">
        <v>380</v>
      </c>
      <c r="D201" s="9" t="s">
        <v>95</v>
      </c>
      <c r="E201" s="9">
        <v>2023</v>
      </c>
      <c r="F201" s="9" t="s">
        <v>94</v>
      </c>
      <c r="G201" s="18">
        <v>0.97</v>
      </c>
      <c r="H201" s="11">
        <v>1076</v>
      </c>
      <c r="I201" s="11">
        <v>1044</v>
      </c>
      <c r="J201" s="11">
        <v>11901034</v>
      </c>
      <c r="K201" s="11">
        <v>2644180</v>
      </c>
      <c r="L201" s="11">
        <v>5464197</v>
      </c>
      <c r="M201" s="11">
        <v>14545213</v>
      </c>
      <c r="N201" s="9">
        <v>11057</v>
      </c>
      <c r="O201" s="12">
        <v>52.1</v>
      </c>
      <c r="P201" s="13">
        <v>0.312</v>
      </c>
      <c r="Q201" s="13">
        <v>0.30199999999999999</v>
      </c>
      <c r="R201" s="11">
        <v>479.3</v>
      </c>
      <c r="S201" s="11">
        <v>1275.9000000000001</v>
      </c>
    </row>
    <row r="202" spans="1:19" x14ac:dyDescent="0.3">
      <c r="A202" s="14" t="s">
        <v>110</v>
      </c>
      <c r="B202" s="14" t="s">
        <v>85</v>
      </c>
      <c r="C202" s="14">
        <v>380</v>
      </c>
      <c r="D202" s="14" t="s">
        <v>96</v>
      </c>
      <c r="E202" s="14">
        <v>2023</v>
      </c>
      <c r="F202" s="14" t="s">
        <v>87</v>
      </c>
      <c r="G202" s="17">
        <v>0.63600000000000001</v>
      </c>
      <c r="H202" s="15">
        <v>604</v>
      </c>
      <c r="I202" s="15">
        <v>384</v>
      </c>
      <c r="J202" s="15">
        <v>4379200</v>
      </c>
      <c r="K202" s="15">
        <v>1099685</v>
      </c>
      <c r="L202" s="15">
        <v>1915829</v>
      </c>
      <c r="M202" s="15">
        <v>5478885</v>
      </c>
      <c r="N202" s="14">
        <v>7245</v>
      </c>
      <c r="O202" s="16">
        <v>51.2</v>
      </c>
      <c r="P202" s="17">
        <v>0.29099999999999998</v>
      </c>
      <c r="Q202" s="17">
        <v>0.308</v>
      </c>
      <c r="R202" s="15">
        <v>168.1</v>
      </c>
      <c r="S202" s="15">
        <v>480.6</v>
      </c>
    </row>
    <row r="203" spans="1:19" x14ac:dyDescent="0.3">
      <c r="A203" s="9" t="s">
        <v>110</v>
      </c>
      <c r="B203" s="9" t="s">
        <v>85</v>
      </c>
      <c r="C203" s="9">
        <v>380</v>
      </c>
      <c r="D203" s="9" t="s">
        <v>97</v>
      </c>
      <c r="E203" s="9">
        <v>2023</v>
      </c>
      <c r="F203" s="9" t="s">
        <v>87</v>
      </c>
      <c r="G203" s="13">
        <v>0.66500000000000004</v>
      </c>
      <c r="H203" s="11">
        <v>600</v>
      </c>
      <c r="I203" s="11">
        <v>399</v>
      </c>
      <c r="J203" s="11">
        <v>4543767</v>
      </c>
      <c r="K203" s="11">
        <v>1250168</v>
      </c>
      <c r="L203" s="11">
        <v>2188325</v>
      </c>
      <c r="M203" s="11">
        <v>5793936</v>
      </c>
      <c r="N203" s="9">
        <v>7576</v>
      </c>
      <c r="O203" s="12">
        <v>61.3</v>
      </c>
      <c r="P203" s="13">
        <v>0.35199999999999998</v>
      </c>
      <c r="Q203" s="13">
        <v>0.27500000000000002</v>
      </c>
      <c r="R203" s="11">
        <v>192</v>
      </c>
      <c r="S203" s="11">
        <v>508.2</v>
      </c>
    </row>
    <row r="204" spans="1:19" x14ac:dyDescent="0.3">
      <c r="A204" s="14" t="s">
        <v>110</v>
      </c>
      <c r="B204" s="14" t="s">
        <v>85</v>
      </c>
      <c r="C204" s="14">
        <v>380</v>
      </c>
      <c r="D204" s="14" t="s">
        <v>98</v>
      </c>
      <c r="E204" s="14">
        <v>2023</v>
      </c>
      <c r="F204" s="14" t="s">
        <v>87</v>
      </c>
      <c r="G204" s="17">
        <v>0.69199999999999995</v>
      </c>
      <c r="H204" s="15">
        <v>619</v>
      </c>
      <c r="I204" s="15">
        <v>428</v>
      </c>
      <c r="J204" s="15">
        <v>4884117</v>
      </c>
      <c r="K204" s="15">
        <v>1176504</v>
      </c>
      <c r="L204" s="15">
        <v>2077630</v>
      </c>
      <c r="M204" s="15">
        <v>6060621</v>
      </c>
      <c r="N204" s="14">
        <v>7892</v>
      </c>
      <c r="O204" s="16">
        <v>69</v>
      </c>
      <c r="P204" s="17">
        <v>0.34300000000000003</v>
      </c>
      <c r="Q204" s="17">
        <v>0.29799999999999999</v>
      </c>
      <c r="R204" s="15">
        <v>182.2</v>
      </c>
      <c r="S204" s="15">
        <v>531.6</v>
      </c>
    </row>
    <row r="205" spans="1:19" x14ac:dyDescent="0.3">
      <c r="A205" s="9" t="s">
        <v>110</v>
      </c>
      <c r="B205" s="9" t="s">
        <v>85</v>
      </c>
      <c r="C205" s="9">
        <v>380</v>
      </c>
      <c r="D205" s="9" t="s">
        <v>99</v>
      </c>
      <c r="E205" s="9">
        <v>2023</v>
      </c>
      <c r="F205" s="9" t="s">
        <v>87</v>
      </c>
      <c r="G205" s="13">
        <v>0.61499999999999999</v>
      </c>
      <c r="H205" s="11">
        <v>588</v>
      </c>
      <c r="I205" s="11">
        <v>362</v>
      </c>
      <c r="J205" s="11">
        <v>4123837</v>
      </c>
      <c r="K205" s="11">
        <v>1233138</v>
      </c>
      <c r="L205" s="11">
        <v>2159253</v>
      </c>
      <c r="M205" s="11">
        <v>5356975</v>
      </c>
      <c r="N205" s="9">
        <v>7011</v>
      </c>
      <c r="O205" s="12">
        <v>55.4</v>
      </c>
      <c r="P205" s="13">
        <v>0.29399999999999998</v>
      </c>
      <c r="Q205" s="13">
        <v>0.313</v>
      </c>
      <c r="R205" s="11">
        <v>189.4</v>
      </c>
      <c r="S205" s="11">
        <v>469.9</v>
      </c>
    </row>
    <row r="206" spans="1:19" x14ac:dyDescent="0.3">
      <c r="A206" s="14" t="s">
        <v>110</v>
      </c>
      <c r="B206" s="14" t="s">
        <v>85</v>
      </c>
      <c r="C206" s="14">
        <v>380</v>
      </c>
      <c r="D206" s="14" t="s">
        <v>100</v>
      </c>
      <c r="E206" s="14">
        <v>2023</v>
      </c>
      <c r="F206" s="14" t="s">
        <v>87</v>
      </c>
      <c r="G206" s="17">
        <v>0.68600000000000005</v>
      </c>
      <c r="H206" s="15">
        <v>649</v>
      </c>
      <c r="I206" s="15">
        <v>445</v>
      </c>
      <c r="J206" s="15">
        <v>5072987</v>
      </c>
      <c r="K206" s="15">
        <v>1272009</v>
      </c>
      <c r="L206" s="15">
        <v>2329598</v>
      </c>
      <c r="M206" s="15">
        <v>6344996</v>
      </c>
      <c r="N206" s="14">
        <v>7816</v>
      </c>
      <c r="O206" s="16">
        <v>57</v>
      </c>
      <c r="P206" s="17">
        <v>0.30499999999999999</v>
      </c>
      <c r="Q206" s="17">
        <v>0.29099999999999998</v>
      </c>
      <c r="R206" s="15">
        <v>204.4</v>
      </c>
      <c r="S206" s="15">
        <v>556.6</v>
      </c>
    </row>
    <row r="207" spans="1:19" x14ac:dyDescent="0.3">
      <c r="A207" s="9" t="s">
        <v>110</v>
      </c>
      <c r="B207" s="9" t="s">
        <v>85</v>
      </c>
      <c r="C207" s="9">
        <v>380</v>
      </c>
      <c r="D207" s="9" t="s">
        <v>86</v>
      </c>
      <c r="E207" s="9">
        <v>2024</v>
      </c>
      <c r="F207" s="9" t="s">
        <v>87</v>
      </c>
      <c r="G207" s="10">
        <v>0.59899999999999998</v>
      </c>
      <c r="H207" s="11">
        <v>541</v>
      </c>
      <c r="I207" s="11">
        <v>324</v>
      </c>
      <c r="J207" s="11">
        <v>3696838</v>
      </c>
      <c r="K207" s="11">
        <v>907589</v>
      </c>
      <c r="L207" s="11">
        <v>1563642</v>
      </c>
      <c r="M207" s="11">
        <v>4604427</v>
      </c>
      <c r="N207" s="9">
        <v>6830</v>
      </c>
      <c r="O207" s="12">
        <v>50.3</v>
      </c>
      <c r="P207" s="13">
        <v>0.32100000000000001</v>
      </c>
      <c r="Q207" s="13">
        <v>0.30199999999999999</v>
      </c>
      <c r="R207" s="11">
        <v>137.19999999999999</v>
      </c>
      <c r="S207" s="11">
        <v>403.9</v>
      </c>
    </row>
    <row r="208" spans="1:19" x14ac:dyDescent="0.3">
      <c r="A208" s="14" t="s">
        <v>110</v>
      </c>
      <c r="B208" s="14" t="s">
        <v>85</v>
      </c>
      <c r="C208" s="14">
        <v>380</v>
      </c>
      <c r="D208" s="14" t="s">
        <v>88</v>
      </c>
      <c r="E208" s="14">
        <v>2024</v>
      </c>
      <c r="F208" s="14" t="s">
        <v>89</v>
      </c>
      <c r="G208" s="17">
        <v>0.64600000000000002</v>
      </c>
      <c r="H208" s="15">
        <v>631</v>
      </c>
      <c r="I208" s="15">
        <v>407</v>
      </c>
      <c r="J208" s="15">
        <v>4642581</v>
      </c>
      <c r="K208" s="15">
        <v>1126019</v>
      </c>
      <c r="L208" s="15">
        <v>1832444</v>
      </c>
      <c r="M208" s="15">
        <v>5768600</v>
      </c>
      <c r="N208" s="14">
        <v>7361</v>
      </c>
      <c r="O208" s="16">
        <v>65.3</v>
      </c>
      <c r="P208" s="17">
        <v>0.30099999999999999</v>
      </c>
      <c r="Q208" s="17">
        <v>0.27400000000000002</v>
      </c>
      <c r="R208" s="15">
        <v>160.69999999999999</v>
      </c>
      <c r="S208" s="15">
        <v>506</v>
      </c>
    </row>
    <row r="209" spans="1:19" x14ac:dyDescent="0.3">
      <c r="A209" s="9" t="s">
        <v>110</v>
      </c>
      <c r="B209" s="9" t="s">
        <v>85</v>
      </c>
      <c r="C209" s="9">
        <v>380</v>
      </c>
      <c r="D209" s="9" t="s">
        <v>90</v>
      </c>
      <c r="E209" s="9">
        <v>2024</v>
      </c>
      <c r="F209" s="9" t="s">
        <v>89</v>
      </c>
      <c r="G209" s="18">
        <v>0.97</v>
      </c>
      <c r="H209" s="11">
        <v>888</v>
      </c>
      <c r="I209" s="11">
        <v>862</v>
      </c>
      <c r="J209" s="11">
        <v>9822966</v>
      </c>
      <c r="K209" s="11">
        <v>2097057</v>
      </c>
      <c r="L209" s="11">
        <v>4463632</v>
      </c>
      <c r="M209" s="11">
        <v>11920023</v>
      </c>
      <c r="N209" s="9">
        <v>11057</v>
      </c>
      <c r="O209" s="12">
        <v>68.599999999999994</v>
      </c>
      <c r="P209" s="13">
        <v>0.314</v>
      </c>
      <c r="Q209" s="13">
        <v>0.27</v>
      </c>
      <c r="R209" s="11">
        <v>391.5</v>
      </c>
      <c r="S209" s="11">
        <v>1045.5999999999999</v>
      </c>
    </row>
    <row r="210" spans="1:19" x14ac:dyDescent="0.3">
      <c r="A210" s="14" t="s">
        <v>110</v>
      </c>
      <c r="B210" s="14" t="s">
        <v>85</v>
      </c>
      <c r="C210" s="14">
        <v>380</v>
      </c>
      <c r="D210" s="14" t="s">
        <v>91</v>
      </c>
      <c r="E210" s="14">
        <v>2024</v>
      </c>
      <c r="F210" s="14" t="s">
        <v>87</v>
      </c>
      <c r="G210" s="17">
        <v>0.64200000000000002</v>
      </c>
      <c r="H210" s="15">
        <v>646</v>
      </c>
      <c r="I210" s="15">
        <v>415</v>
      </c>
      <c r="J210" s="15">
        <v>4731032</v>
      </c>
      <c r="K210" s="15">
        <v>979398</v>
      </c>
      <c r="L210" s="15">
        <v>1891857</v>
      </c>
      <c r="M210" s="15">
        <v>5710430</v>
      </c>
      <c r="N210" s="14">
        <v>7321</v>
      </c>
      <c r="O210" s="16">
        <v>55.2</v>
      </c>
      <c r="P210" s="17">
        <v>0.28299999999999997</v>
      </c>
      <c r="Q210" s="17">
        <v>0.27100000000000002</v>
      </c>
      <c r="R210" s="15">
        <v>166</v>
      </c>
      <c r="S210" s="15">
        <v>500.9</v>
      </c>
    </row>
    <row r="211" spans="1:19" x14ac:dyDescent="0.3">
      <c r="A211" s="9" t="s">
        <v>110</v>
      </c>
      <c r="B211" s="9" t="s">
        <v>85</v>
      </c>
      <c r="C211" s="9">
        <v>380</v>
      </c>
      <c r="D211" s="9" t="s">
        <v>92</v>
      </c>
      <c r="E211" s="9">
        <v>2024</v>
      </c>
      <c r="F211" s="9" t="s">
        <v>87</v>
      </c>
      <c r="G211" s="13">
        <v>0.64</v>
      </c>
      <c r="H211" s="11">
        <v>613</v>
      </c>
      <c r="I211" s="11">
        <v>392</v>
      </c>
      <c r="J211" s="11">
        <v>4466803</v>
      </c>
      <c r="K211" s="11">
        <v>1036736</v>
      </c>
      <c r="L211" s="11">
        <v>2061789</v>
      </c>
      <c r="M211" s="11">
        <v>5503539</v>
      </c>
      <c r="N211" s="9">
        <v>7290</v>
      </c>
      <c r="O211" s="12">
        <v>58.7</v>
      </c>
      <c r="P211" s="13">
        <v>0.32</v>
      </c>
      <c r="Q211" s="13">
        <v>0.29299999999999998</v>
      </c>
      <c r="R211" s="11">
        <v>180.9</v>
      </c>
      <c r="S211" s="11">
        <v>482.8</v>
      </c>
    </row>
    <row r="212" spans="1:19" x14ac:dyDescent="0.3">
      <c r="A212" s="14" t="s">
        <v>110</v>
      </c>
      <c r="B212" s="14" t="s">
        <v>85</v>
      </c>
      <c r="C212" s="14">
        <v>380</v>
      </c>
      <c r="D212" s="14" t="s">
        <v>93</v>
      </c>
      <c r="E212" s="14">
        <v>2024</v>
      </c>
      <c r="F212" s="14" t="s">
        <v>94</v>
      </c>
      <c r="G212" s="18">
        <v>0.97</v>
      </c>
      <c r="H212" s="15">
        <v>1094</v>
      </c>
      <c r="I212" s="15">
        <v>1061</v>
      </c>
      <c r="J212" s="15">
        <v>12093823</v>
      </c>
      <c r="K212" s="15">
        <v>3617341</v>
      </c>
      <c r="L212" s="15">
        <v>5133511</v>
      </c>
      <c r="M212" s="15">
        <v>15711164</v>
      </c>
      <c r="N212" s="14">
        <v>11057</v>
      </c>
      <c r="O212" s="16">
        <v>43.1</v>
      </c>
      <c r="P212" s="17">
        <v>0.28999999999999998</v>
      </c>
      <c r="Q212" s="17">
        <v>0.318</v>
      </c>
      <c r="R212" s="15">
        <v>450.3</v>
      </c>
      <c r="S212" s="15">
        <v>1378.2</v>
      </c>
    </row>
    <row r="213" spans="1:19" x14ac:dyDescent="0.3">
      <c r="A213" s="9" t="s">
        <v>110</v>
      </c>
      <c r="B213" s="9" t="s">
        <v>85</v>
      </c>
      <c r="C213" s="9">
        <v>380</v>
      </c>
      <c r="D213" s="9" t="s">
        <v>95</v>
      </c>
      <c r="E213" s="9">
        <v>2024</v>
      </c>
      <c r="F213" s="9" t="s">
        <v>94</v>
      </c>
      <c r="G213" s="18">
        <v>0.97</v>
      </c>
      <c r="H213" s="11">
        <v>1216</v>
      </c>
      <c r="I213" s="11">
        <v>1179</v>
      </c>
      <c r="J213" s="11">
        <v>13442140</v>
      </c>
      <c r="K213" s="11">
        <v>3804933</v>
      </c>
      <c r="L213" s="11">
        <v>6709861</v>
      </c>
      <c r="M213" s="11">
        <v>17247073</v>
      </c>
      <c r="N213" s="9">
        <v>11057</v>
      </c>
      <c r="O213" s="12">
        <v>47.3</v>
      </c>
      <c r="P213" s="13">
        <v>0.34100000000000003</v>
      </c>
      <c r="Q213" s="13">
        <v>0.308</v>
      </c>
      <c r="R213" s="11">
        <v>588.6</v>
      </c>
      <c r="S213" s="11">
        <v>1512.9</v>
      </c>
    </row>
    <row r="214" spans="1:19" x14ac:dyDescent="0.3">
      <c r="A214" s="14" t="s">
        <v>110</v>
      </c>
      <c r="B214" s="14" t="s">
        <v>85</v>
      </c>
      <c r="C214" s="14">
        <v>380</v>
      </c>
      <c r="D214" s="14" t="s">
        <v>96</v>
      </c>
      <c r="E214" s="14">
        <v>2024</v>
      </c>
      <c r="F214" s="14" t="s">
        <v>87</v>
      </c>
      <c r="G214" s="17">
        <v>0.70199999999999996</v>
      </c>
      <c r="H214" s="15">
        <v>637</v>
      </c>
      <c r="I214" s="15">
        <v>447</v>
      </c>
      <c r="J214" s="15">
        <v>5094527</v>
      </c>
      <c r="K214" s="15">
        <v>1248257</v>
      </c>
      <c r="L214" s="15">
        <v>2132128</v>
      </c>
      <c r="M214" s="15">
        <v>6342784</v>
      </c>
      <c r="N214" s="14">
        <v>7998</v>
      </c>
      <c r="O214" s="16">
        <v>61</v>
      </c>
      <c r="P214" s="17">
        <v>0.32400000000000001</v>
      </c>
      <c r="Q214" s="17">
        <v>0.312</v>
      </c>
      <c r="R214" s="15">
        <v>187</v>
      </c>
      <c r="S214" s="15">
        <v>556.4</v>
      </c>
    </row>
    <row r="215" spans="1:19" x14ac:dyDescent="0.3">
      <c r="A215" s="9" t="s">
        <v>110</v>
      </c>
      <c r="B215" s="9" t="s">
        <v>85</v>
      </c>
      <c r="C215" s="9">
        <v>380</v>
      </c>
      <c r="D215" s="9" t="s">
        <v>97</v>
      </c>
      <c r="E215" s="9">
        <v>2024</v>
      </c>
      <c r="F215" s="9" t="s">
        <v>87</v>
      </c>
      <c r="G215" s="13">
        <v>0.749</v>
      </c>
      <c r="H215" s="11">
        <v>655</v>
      </c>
      <c r="I215" s="11">
        <v>491</v>
      </c>
      <c r="J215" s="11">
        <v>5595026</v>
      </c>
      <c r="K215" s="11">
        <v>1131383</v>
      </c>
      <c r="L215" s="11">
        <v>2708773</v>
      </c>
      <c r="M215" s="11">
        <v>6726408</v>
      </c>
      <c r="N215" s="9">
        <v>8538</v>
      </c>
      <c r="O215" s="12">
        <v>73.2</v>
      </c>
      <c r="P215" s="13">
        <v>0.30499999999999999</v>
      </c>
      <c r="Q215" s="13">
        <v>0.32800000000000001</v>
      </c>
      <c r="R215" s="11">
        <v>237.6</v>
      </c>
      <c r="S215" s="11">
        <v>590</v>
      </c>
    </row>
    <row r="216" spans="1:19" x14ac:dyDescent="0.3">
      <c r="A216" s="14" t="s">
        <v>110</v>
      </c>
      <c r="B216" s="14" t="s">
        <v>85</v>
      </c>
      <c r="C216" s="14">
        <v>380</v>
      </c>
      <c r="D216" s="14" t="s">
        <v>98</v>
      </c>
      <c r="E216" s="14">
        <v>2024</v>
      </c>
      <c r="F216" s="14" t="s">
        <v>87</v>
      </c>
      <c r="G216" s="17">
        <v>0.70599999999999996</v>
      </c>
      <c r="H216" s="15">
        <v>657</v>
      </c>
      <c r="I216" s="15">
        <v>464</v>
      </c>
      <c r="J216" s="15">
        <v>5291404</v>
      </c>
      <c r="K216" s="15">
        <v>1291827</v>
      </c>
      <c r="L216" s="15">
        <v>2600936</v>
      </c>
      <c r="M216" s="15">
        <v>6583231</v>
      </c>
      <c r="N216" s="14">
        <v>8050</v>
      </c>
      <c r="O216" s="16">
        <v>66.5</v>
      </c>
      <c r="P216" s="17">
        <v>0.308</v>
      </c>
      <c r="Q216" s="17">
        <v>0.28799999999999998</v>
      </c>
      <c r="R216" s="15">
        <v>228.2</v>
      </c>
      <c r="S216" s="15">
        <v>577.5</v>
      </c>
    </row>
    <row r="217" spans="1:19" x14ac:dyDescent="0.3">
      <c r="A217" s="9" t="s">
        <v>110</v>
      </c>
      <c r="B217" s="9" t="s">
        <v>85</v>
      </c>
      <c r="C217" s="9">
        <v>380</v>
      </c>
      <c r="D217" s="9" t="s">
        <v>99</v>
      </c>
      <c r="E217" s="9">
        <v>2024</v>
      </c>
      <c r="F217" s="9" t="s">
        <v>87</v>
      </c>
      <c r="G217" s="13">
        <v>0.70399999999999996</v>
      </c>
      <c r="H217" s="11">
        <v>628</v>
      </c>
      <c r="I217" s="11">
        <v>442</v>
      </c>
      <c r="J217" s="11">
        <v>5036519</v>
      </c>
      <c r="K217" s="11">
        <v>1423796</v>
      </c>
      <c r="L217" s="11">
        <v>2186439</v>
      </c>
      <c r="M217" s="11">
        <v>6460315</v>
      </c>
      <c r="N217" s="9">
        <v>8024</v>
      </c>
      <c r="O217" s="12">
        <v>52</v>
      </c>
      <c r="P217" s="13">
        <v>0.32600000000000001</v>
      </c>
      <c r="Q217" s="13">
        <v>0.30499999999999999</v>
      </c>
      <c r="R217" s="11">
        <v>191.8</v>
      </c>
      <c r="S217" s="11">
        <v>566.70000000000005</v>
      </c>
    </row>
    <row r="218" spans="1:19" x14ac:dyDescent="0.3">
      <c r="A218" s="14" t="s">
        <v>110</v>
      </c>
      <c r="B218" s="14" t="s">
        <v>85</v>
      </c>
      <c r="C218" s="14">
        <v>380</v>
      </c>
      <c r="D218" s="14" t="s">
        <v>100</v>
      </c>
      <c r="E218" s="14">
        <v>2024</v>
      </c>
      <c r="F218" s="14" t="s">
        <v>87</v>
      </c>
      <c r="G218" s="17">
        <v>0.73199999999999998</v>
      </c>
      <c r="H218" s="15">
        <v>669</v>
      </c>
      <c r="I218" s="15">
        <v>490</v>
      </c>
      <c r="J218" s="15">
        <v>5581641</v>
      </c>
      <c r="K218" s="15">
        <v>1497006</v>
      </c>
      <c r="L218" s="15">
        <v>2860898</v>
      </c>
      <c r="M218" s="15">
        <v>7078647</v>
      </c>
      <c r="N218" s="14">
        <v>8342</v>
      </c>
      <c r="O218" s="16">
        <v>57</v>
      </c>
      <c r="P218" s="17">
        <v>0.29199999999999998</v>
      </c>
      <c r="Q218" s="17">
        <v>0.317</v>
      </c>
      <c r="R218" s="15">
        <v>251</v>
      </c>
      <c r="S218" s="15">
        <v>620.9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showGridLines="0" workbookViewId="0">
      <selection sqref="A1:K1"/>
    </sheetView>
  </sheetViews>
  <sheetFormatPr defaultRowHeight="14" x14ac:dyDescent="0.3"/>
  <cols>
    <col min="1" max="1" width="22" customWidth="1"/>
    <col min="2" max="2" width="10" customWidth="1"/>
    <col min="3" max="3" width="7" customWidth="1"/>
    <col min="4" max="4" width="13" customWidth="1"/>
    <col min="5" max="8" width="12" customWidth="1"/>
    <col min="9" max="9" width="10" customWidth="1"/>
    <col min="10" max="10" width="12" customWidth="1"/>
    <col min="11" max="11" width="18" customWidth="1"/>
  </cols>
  <sheetData>
    <row r="1" spans="1:11" ht="32" customHeight="1" x14ac:dyDescent="0.3">
      <c r="A1" s="59" t="s">
        <v>111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36" customHeight="1" x14ac:dyDescent="0.3">
      <c r="A2" s="1" t="s">
        <v>67</v>
      </c>
      <c r="B2" s="1" t="s">
        <v>68</v>
      </c>
      <c r="C2" s="1" t="s">
        <v>69</v>
      </c>
      <c r="D2" s="1" t="s">
        <v>112</v>
      </c>
      <c r="E2" s="1" t="s">
        <v>113</v>
      </c>
      <c r="F2" s="1" t="s">
        <v>16</v>
      </c>
      <c r="G2" s="1" t="s">
        <v>21</v>
      </c>
      <c r="H2" s="1" t="s">
        <v>26</v>
      </c>
      <c r="I2" s="1" t="s">
        <v>114</v>
      </c>
      <c r="J2" s="1" t="s">
        <v>82</v>
      </c>
      <c r="K2" s="1" t="s">
        <v>115</v>
      </c>
    </row>
    <row r="3" spans="1:11" x14ac:dyDescent="0.3">
      <c r="A3" s="19" t="s">
        <v>84</v>
      </c>
      <c r="B3" s="20" t="s">
        <v>85</v>
      </c>
      <c r="C3" s="20">
        <v>500</v>
      </c>
      <c r="D3" s="21">
        <f>AVERAGEIFS('📊 Monthly Data'!G:G,'📊 Monthly Data'!A:A,A3,'📊 Monthly Data'!E:E,2024)</f>
        <v>0.71641666666666681</v>
      </c>
      <c r="E3" s="22">
        <f>AVERAGEIFS('📊 Monthly Data'!H:H,'📊 Monthly Data'!A:A,A3,'📊 Monthly Data'!E:E,2024)</f>
        <v>599</v>
      </c>
      <c r="F3" s="22">
        <f>AVERAGEIFS('📊 Monthly Data'!I:I,'📊 Monthly Data'!A:A,A3,'📊 Monthly Data'!E:E,2024)</f>
        <v>452.16666666666669</v>
      </c>
      <c r="G3" s="22">
        <f>AVERAGEIFS('📊 Monthly Data'!R:R,'📊 Monthly Data'!A:A,A3,'📊 Monthly Data'!E:E,2024)</f>
        <v>211.58333333333334</v>
      </c>
      <c r="H3" s="22">
        <f>AVERAGEIFS('📊 Monthly Data'!S:S,'📊 Monthly Data'!A:A,A3,'📊 Monthly Data'!E:E,2024)</f>
        <v>572.93333333333328</v>
      </c>
      <c r="I3" s="23">
        <f>AVERAGEIFS('📊 Monthly Data'!O:O,'📊 Monthly Data'!A:A,A3,'📊 Monthly Data'!E:E,2024)</f>
        <v>59.4</v>
      </c>
      <c r="J3" s="21">
        <f>AVERAGEIFS('📊 Monthly Data'!P:P,'📊 Monthly Data'!A:A,A3,'📊 Monthly Data'!E:E,2024)</f>
        <v>0.32616666666666666</v>
      </c>
      <c r="K3" s="19" t="str">
        <f t="shared" ref="K3:K11" si="0">IF(D3&gt;=0.82,"⭐⭐⭐ Strong",IF(D3&gt;=0.68,"⭐⭐ Average","⭐ Needs Focus"))</f>
        <v>⭐⭐ Average</v>
      </c>
    </row>
    <row r="4" spans="1:11" x14ac:dyDescent="0.3">
      <c r="A4" s="24" t="s">
        <v>101</v>
      </c>
      <c r="B4" s="25" t="s">
        <v>85</v>
      </c>
      <c r="C4" s="25">
        <v>320</v>
      </c>
      <c r="D4" s="26">
        <f>AVERAGEIFS('📊 Monthly Data'!G:G,'📊 Monthly Data'!A:A,A4,'📊 Monthly Data'!E:E,2024)</f>
        <v>0.74191666666666656</v>
      </c>
      <c r="E4" s="27">
        <f>AVERAGEIFS('📊 Monthly Data'!H:H,'📊 Monthly Data'!A:A,A4,'📊 Monthly Data'!E:E,2024)</f>
        <v>804.5</v>
      </c>
      <c r="F4" s="27">
        <f>AVERAGEIFS('📊 Monthly Data'!I:I,'📊 Monthly Data'!A:A,A4,'📊 Monthly Data'!E:E,2024)</f>
        <v>627.16666666666663</v>
      </c>
      <c r="G4" s="27">
        <f>AVERAGEIFS('📊 Monthly Data'!R:R,'📊 Monthly Data'!A:A,A4,'📊 Monthly Data'!E:E,2024)</f>
        <v>278.54166666666663</v>
      </c>
      <c r="H4" s="27">
        <f>AVERAGEIFS('📊 Monthly Data'!S:S,'📊 Monthly Data'!A:A,A4,'📊 Monthly Data'!E:E,2024)</f>
        <v>780.06666666666661</v>
      </c>
      <c r="I4" s="28">
        <f>AVERAGEIFS('📊 Monthly Data'!O:O,'📊 Monthly Data'!A:A,A4,'📊 Monthly Data'!E:E,2024)</f>
        <v>58.049999999999983</v>
      </c>
      <c r="J4" s="26">
        <f>AVERAGEIFS('📊 Monthly Data'!P:P,'📊 Monthly Data'!A:A,A4,'📊 Monthly Data'!E:E,2024)</f>
        <v>0.32616666666666655</v>
      </c>
      <c r="K4" s="24" t="str">
        <f t="shared" si="0"/>
        <v>⭐⭐ Average</v>
      </c>
    </row>
    <row r="5" spans="1:11" x14ac:dyDescent="0.3">
      <c r="A5" s="19" t="s">
        <v>102</v>
      </c>
      <c r="B5" s="20" t="s">
        <v>85</v>
      </c>
      <c r="C5" s="20">
        <v>280</v>
      </c>
      <c r="D5" s="21">
        <f>AVERAGEIFS('📊 Monthly Data'!G:G,'📊 Monthly Data'!A:A,A5,'📊 Monthly Data'!E:E,2024)</f>
        <v>0.70750000000000002</v>
      </c>
      <c r="E5" s="22">
        <f>AVERAGEIFS('📊 Monthly Data'!H:H,'📊 Monthly Data'!A:A,A5,'📊 Monthly Data'!E:E,2024)</f>
        <v>826</v>
      </c>
      <c r="F5" s="22">
        <f>AVERAGEIFS('📊 Monthly Data'!I:I,'📊 Monthly Data'!A:A,A5,'📊 Monthly Data'!E:E,2024)</f>
        <v>613.83333333333337</v>
      </c>
      <c r="G5" s="22">
        <f>AVERAGEIFS('📊 Monthly Data'!R:R,'📊 Monthly Data'!A:A,A5,'📊 Monthly Data'!E:E,2024)</f>
        <v>282.42500000000001</v>
      </c>
      <c r="H5" s="22">
        <f>AVERAGEIFS('📊 Monthly Data'!S:S,'📊 Monthly Data'!A:A,A5,'📊 Monthly Data'!E:E,2024)</f>
        <v>764.43333333333305</v>
      </c>
      <c r="I5" s="23">
        <f>AVERAGEIFS('📊 Monthly Data'!O:O,'📊 Monthly Data'!A:A,A5,'📊 Monthly Data'!E:E,2024)</f>
        <v>64.25833333333334</v>
      </c>
      <c r="J5" s="21">
        <f>AVERAGEIFS('📊 Monthly Data'!P:P,'📊 Monthly Data'!A:A,A5,'📊 Monthly Data'!E:E,2024)</f>
        <v>0.32325000000000004</v>
      </c>
      <c r="K5" s="19" t="str">
        <f t="shared" si="0"/>
        <v>⭐⭐ Average</v>
      </c>
    </row>
    <row r="6" spans="1:11" x14ac:dyDescent="0.3">
      <c r="A6" s="24" t="s">
        <v>103</v>
      </c>
      <c r="B6" s="25" t="s">
        <v>85</v>
      </c>
      <c r="C6" s="25">
        <v>420</v>
      </c>
      <c r="D6" s="26">
        <f>AVERAGEIFS('📊 Monthly Data'!G:G,'📊 Monthly Data'!A:A,A6,'📊 Monthly Data'!E:E,2024)</f>
        <v>0.76600000000000001</v>
      </c>
      <c r="E6" s="27">
        <f>AVERAGEIFS('📊 Monthly Data'!H:H,'📊 Monthly Data'!A:A,A6,'📊 Monthly Data'!E:E,2024)</f>
        <v>829.58333333333337</v>
      </c>
      <c r="F6" s="27">
        <f>AVERAGEIFS('📊 Monthly Data'!I:I,'📊 Monthly Data'!A:A,A6,'📊 Monthly Data'!E:E,2024)</f>
        <v>661.91666666666663</v>
      </c>
      <c r="G6" s="27">
        <f>AVERAGEIFS('📊 Monthly Data'!R:R,'📊 Monthly Data'!A:A,A6,'📊 Monthly Data'!E:E,2024)</f>
        <v>298.44166666666666</v>
      </c>
      <c r="H6" s="27">
        <f>AVERAGEIFS('📊 Monthly Data'!S:S,'📊 Monthly Data'!A:A,A6,'📊 Monthly Data'!E:E,2024)</f>
        <v>833.16666666666663</v>
      </c>
      <c r="I6" s="28">
        <f>AVERAGEIFS('📊 Monthly Data'!O:O,'📊 Monthly Data'!A:A,A6,'📊 Monthly Data'!E:E,2024)</f>
        <v>56.816666666666663</v>
      </c>
      <c r="J6" s="26">
        <f>AVERAGEIFS('📊 Monthly Data'!P:P,'📊 Monthly Data'!A:A,A6,'📊 Monthly Data'!E:E,2024)</f>
        <v>0.32116666666666666</v>
      </c>
      <c r="K6" s="24" t="str">
        <f t="shared" si="0"/>
        <v>⭐⭐ Average</v>
      </c>
    </row>
    <row r="7" spans="1:11" x14ac:dyDescent="0.3">
      <c r="A7" s="19" t="s">
        <v>104</v>
      </c>
      <c r="B7" s="20" t="s">
        <v>85</v>
      </c>
      <c r="C7" s="20">
        <v>350</v>
      </c>
      <c r="D7" s="21">
        <f>AVERAGEIFS('📊 Monthly Data'!G:G,'📊 Monthly Data'!A:A,A7,'📊 Monthly Data'!E:E,2024)</f>
        <v>0.73358333333333337</v>
      </c>
      <c r="E7" s="22">
        <f>AVERAGEIFS('📊 Monthly Data'!H:H,'📊 Monthly Data'!A:A,A7,'📊 Monthly Data'!E:E,2024)</f>
        <v>758.08333333333337</v>
      </c>
      <c r="F7" s="22">
        <f>AVERAGEIFS('📊 Monthly Data'!I:I,'📊 Monthly Data'!A:A,A7,'📊 Monthly Data'!E:E,2024)</f>
        <v>583.58333333333337</v>
      </c>
      <c r="G7" s="22">
        <f>AVERAGEIFS('📊 Monthly Data'!R:R,'📊 Monthly Data'!A:A,A7,'📊 Monthly Data'!E:E,2024)</f>
        <v>269.78333333333336</v>
      </c>
      <c r="H7" s="22">
        <f>AVERAGEIFS('📊 Monthly Data'!S:S,'📊 Monthly Data'!A:A,A7,'📊 Monthly Data'!E:E,2024)</f>
        <v>732.91666666666663</v>
      </c>
      <c r="I7" s="23">
        <f>AVERAGEIFS('📊 Monthly Data'!O:O,'📊 Monthly Data'!A:A,A7,'📊 Monthly Data'!E:E,2024)</f>
        <v>62.625</v>
      </c>
      <c r="J7" s="21">
        <f>AVERAGEIFS('📊 Monthly Data'!P:P,'📊 Monthly Data'!A:A,A7,'📊 Monthly Data'!E:E,2024)</f>
        <v>0.32316666666666666</v>
      </c>
      <c r="K7" s="19" t="str">
        <f t="shared" si="0"/>
        <v>⭐⭐ Average</v>
      </c>
    </row>
    <row r="8" spans="1:11" x14ac:dyDescent="0.3">
      <c r="A8" s="24" t="s">
        <v>105</v>
      </c>
      <c r="B8" s="25" t="s">
        <v>85</v>
      </c>
      <c r="C8" s="25">
        <v>300</v>
      </c>
      <c r="D8" s="26">
        <f>AVERAGEIFS('📊 Monthly Data'!G:G,'📊 Monthly Data'!A:A,A8,'📊 Monthly Data'!E:E,2024)</f>
        <v>0.70808333333333329</v>
      </c>
      <c r="E8" s="27">
        <f>AVERAGEIFS('📊 Monthly Data'!H:H,'📊 Monthly Data'!A:A,A8,'📊 Monthly Data'!E:E,2024)</f>
        <v>696.66666666666663</v>
      </c>
      <c r="F8" s="27">
        <f>AVERAGEIFS('📊 Monthly Data'!I:I,'📊 Monthly Data'!A:A,A8,'📊 Monthly Data'!E:E,2024)</f>
        <v>521</v>
      </c>
      <c r="G8" s="27">
        <f>AVERAGEIFS('📊 Monthly Data'!R:R,'📊 Monthly Data'!A:A,A8,'📊 Monthly Data'!E:E,2024)</f>
        <v>236.58333333333334</v>
      </c>
      <c r="H8" s="27">
        <f>AVERAGEIFS('📊 Monthly Data'!S:S,'📊 Monthly Data'!A:A,A8,'📊 Monthly Data'!E:E,2024)</f>
        <v>653.91666666666663</v>
      </c>
      <c r="I8" s="28">
        <f>AVERAGEIFS('📊 Monthly Data'!O:O,'📊 Monthly Data'!A:A,A8,'📊 Monthly Data'!E:E,2024)</f>
        <v>62.649999999999984</v>
      </c>
      <c r="J8" s="26">
        <f>AVERAGEIFS('📊 Monthly Data'!P:P,'📊 Monthly Data'!A:A,A8,'📊 Monthly Data'!E:E,2024)</f>
        <v>0.31516666666666665</v>
      </c>
      <c r="K8" s="24" t="str">
        <f t="shared" si="0"/>
        <v>⭐⭐ Average</v>
      </c>
    </row>
    <row r="9" spans="1:11" x14ac:dyDescent="0.3">
      <c r="A9" s="19" t="s">
        <v>106</v>
      </c>
      <c r="B9" s="20" t="s">
        <v>107</v>
      </c>
      <c r="C9" s="20">
        <v>250</v>
      </c>
      <c r="D9" s="21">
        <f>AVERAGEIFS('📊 Monthly Data'!G:G,'📊 Monthly Data'!A:A,A9,'📊 Monthly Data'!E:E,2024)</f>
        <v>0.78016666666666667</v>
      </c>
      <c r="E9" s="22">
        <f>AVERAGEIFS('📊 Monthly Data'!H:H,'📊 Monthly Data'!A:A,A9,'📊 Monthly Data'!E:E,2024)</f>
        <v>509.33333333333331</v>
      </c>
      <c r="F9" s="22">
        <f>AVERAGEIFS('📊 Monthly Data'!I:I,'📊 Monthly Data'!A:A,A9,'📊 Monthly Data'!E:E,2024)</f>
        <v>411.58333333333331</v>
      </c>
      <c r="G9" s="22">
        <f>AVERAGEIFS('📊 Monthly Data'!R:R,'📊 Monthly Data'!A:A,A9,'📊 Monthly Data'!E:E,2024)</f>
        <v>188.01666666666668</v>
      </c>
      <c r="H9" s="22">
        <f>AVERAGEIFS('📊 Monthly Data'!S:S,'📊 Monthly Data'!A:A,A9,'📊 Monthly Data'!E:E,2024)</f>
        <v>513.24166666666667</v>
      </c>
      <c r="I9" s="23">
        <f>AVERAGEIFS('📊 Monthly Data'!O:O,'📊 Monthly Data'!A:A,A9,'📊 Monthly Data'!E:E,2024)</f>
        <v>63.858333333333341</v>
      </c>
      <c r="J9" s="21">
        <f>AVERAGEIFS('📊 Monthly Data'!P:P,'📊 Monthly Data'!A:A,A9,'📊 Monthly Data'!E:E,2024)</f>
        <v>0.31883333333333336</v>
      </c>
      <c r="K9" s="19" t="str">
        <f t="shared" si="0"/>
        <v>⭐⭐ Average</v>
      </c>
    </row>
    <row r="10" spans="1:11" x14ac:dyDescent="0.3">
      <c r="A10" s="24" t="s">
        <v>108</v>
      </c>
      <c r="B10" s="25" t="s">
        <v>109</v>
      </c>
      <c r="C10" s="25">
        <v>280</v>
      </c>
      <c r="D10" s="26">
        <f>AVERAGEIFS('📊 Monthly Data'!G:G,'📊 Monthly Data'!A:A,A10,'📊 Monthly Data'!E:E,2024)</f>
        <v>0.75983333333333336</v>
      </c>
      <c r="E10" s="27">
        <f>AVERAGEIFS('📊 Monthly Data'!H:H,'📊 Monthly Data'!A:A,A10,'📊 Monthly Data'!E:E,2024)</f>
        <v>587</v>
      </c>
      <c r="F10" s="27">
        <f>AVERAGEIFS('📊 Monthly Data'!I:I,'📊 Monthly Data'!A:A,A10,'📊 Monthly Data'!E:E,2024)</f>
        <v>466.08333333333331</v>
      </c>
      <c r="G10" s="27">
        <f>AVERAGEIFS('📊 Monthly Data'!R:R,'📊 Monthly Data'!A:A,A10,'📊 Monthly Data'!E:E,2024)</f>
        <v>210.95833333333334</v>
      </c>
      <c r="H10" s="27">
        <f>AVERAGEIFS('📊 Monthly Data'!S:S,'📊 Monthly Data'!A:A,A10,'📊 Monthly Data'!E:E,2024)</f>
        <v>583.49166666666667</v>
      </c>
      <c r="I10" s="28">
        <f>AVERAGEIFS('📊 Monthly Data'!O:O,'📊 Monthly Data'!A:A,A10,'📊 Monthly Data'!E:E,2024)</f>
        <v>58.583333333333336</v>
      </c>
      <c r="J10" s="26">
        <f>AVERAGEIFS('📊 Monthly Data'!P:P,'📊 Monthly Data'!A:A,A10,'📊 Monthly Data'!E:E,2024)</f>
        <v>0.31108333333333332</v>
      </c>
      <c r="K10" s="24" t="str">
        <f t="shared" si="0"/>
        <v>⭐⭐ Average</v>
      </c>
    </row>
    <row r="11" spans="1:11" x14ac:dyDescent="0.3">
      <c r="A11" s="19" t="s">
        <v>110</v>
      </c>
      <c r="B11" s="20" t="s">
        <v>85</v>
      </c>
      <c r="C11" s="20">
        <v>380</v>
      </c>
      <c r="D11" s="21">
        <f>AVERAGEIFS('📊 Monthly Data'!G:G,'📊 Monthly Data'!A:A,A11,'📊 Monthly Data'!E:E,2024)</f>
        <v>0.75249999999999995</v>
      </c>
      <c r="E11" s="22">
        <f>AVERAGEIFS('📊 Monthly Data'!H:H,'📊 Monthly Data'!A:A,A11,'📊 Monthly Data'!E:E,2024)</f>
        <v>739.58333333333337</v>
      </c>
      <c r="F11" s="22">
        <f>AVERAGEIFS('📊 Monthly Data'!I:I,'📊 Monthly Data'!A:A,A11,'📊 Monthly Data'!E:E,2024)</f>
        <v>581.16666666666663</v>
      </c>
      <c r="G11" s="22">
        <f>AVERAGEIFS('📊 Monthly Data'!R:R,'📊 Monthly Data'!A:A,A11,'📊 Monthly Data'!E:E,2024)</f>
        <v>264.23333333333329</v>
      </c>
      <c r="H11" s="22">
        <f>AVERAGEIFS('📊 Monthly Data'!S:S,'📊 Monthly Data'!A:A,A11,'📊 Monthly Data'!E:E,2024)</f>
        <v>728.48333333333346</v>
      </c>
      <c r="I11" s="23">
        <f>AVERAGEIFS('📊 Monthly Data'!O:O,'📊 Monthly Data'!A:A,A11,'📊 Monthly Data'!E:E,2024)</f>
        <v>58.183333333333337</v>
      </c>
      <c r="J11" s="21">
        <f>AVERAGEIFS('📊 Monthly Data'!P:P,'📊 Monthly Data'!A:A,A11,'📊 Monthly Data'!E:E,2024)</f>
        <v>0.31041666666666662</v>
      </c>
      <c r="K11" s="19" t="str">
        <f t="shared" si="0"/>
        <v>⭐⭐ Average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topLeftCell="J1" workbookViewId="0">
      <selection sqref="A1:H1"/>
    </sheetView>
  </sheetViews>
  <sheetFormatPr defaultRowHeight="14" x14ac:dyDescent="0.3"/>
  <cols>
    <col min="1" max="1" width="16" customWidth="1"/>
    <col min="2" max="2" width="13" customWidth="1"/>
    <col min="3" max="5" width="12" customWidth="1"/>
    <col min="6" max="6" width="10" customWidth="1"/>
    <col min="7" max="7" width="18" customWidth="1"/>
    <col min="8" max="8" width="42" customWidth="1"/>
  </cols>
  <sheetData>
    <row r="1" spans="1:8" ht="32" customHeight="1" x14ac:dyDescent="0.3">
      <c r="A1" s="59" t="s">
        <v>116</v>
      </c>
      <c r="B1" s="60"/>
      <c r="C1" s="60"/>
      <c r="D1" s="60"/>
      <c r="E1" s="60"/>
      <c r="F1" s="60"/>
      <c r="G1" s="60"/>
      <c r="H1" s="60"/>
    </row>
    <row r="2" spans="1:8" ht="36" customHeight="1" x14ac:dyDescent="0.3">
      <c r="A2" s="1" t="s">
        <v>72</v>
      </c>
      <c r="B2" s="1" t="s">
        <v>112</v>
      </c>
      <c r="C2" s="1" t="s">
        <v>113</v>
      </c>
      <c r="D2" s="1" t="s">
        <v>117</v>
      </c>
      <c r="E2" s="1" t="s">
        <v>118</v>
      </c>
      <c r="F2" s="1" t="s">
        <v>114</v>
      </c>
      <c r="G2" s="1" t="s">
        <v>79</v>
      </c>
      <c r="H2" s="1" t="s">
        <v>119</v>
      </c>
    </row>
    <row r="3" spans="1:8" ht="45" customHeight="1" x14ac:dyDescent="0.3">
      <c r="A3" s="29" t="s">
        <v>94</v>
      </c>
      <c r="B3" s="30">
        <f>AVERAGEIF('📊 Monthly Data'!F:F,A3,'📊 Monthly Data'!G:G)</f>
        <v>0.96999999999999942</v>
      </c>
      <c r="C3" s="31">
        <f>AVERAGEIF('📊 Monthly Data'!F:F,A3,'📊 Monthly Data'!H:H)</f>
        <v>1052.8888888888889</v>
      </c>
      <c r="D3" s="31">
        <f>AVERAGEIF('📊 Monthly Data'!F:F,A3,'📊 Monthly Data'!I:I)</f>
        <v>1021.3888888888889</v>
      </c>
      <c r="E3" s="31">
        <f>AVERAGEIF('📊 Monthly Data'!F:F,A3,'📊 Monthly Data'!R:R)</f>
        <v>457.73611111111109</v>
      </c>
      <c r="F3" s="32">
        <f>AVERAGEIF('📊 Monthly Data'!F:F,A3,'📊 Monthly Data'!O:O)</f>
        <v>50.99722222222222</v>
      </c>
      <c r="G3" s="33">
        <f>SUMIF('📊 Monthly Data'!F:F,A3,'📊 Monthly Data'!M:M)</f>
        <v>476949478</v>
      </c>
      <c r="H3" s="34" t="s">
        <v>120</v>
      </c>
    </row>
    <row r="4" spans="1:8" ht="45" customHeight="1" x14ac:dyDescent="0.3">
      <c r="A4" s="35" t="s">
        <v>89</v>
      </c>
      <c r="B4" s="36">
        <f>AVERAGEIF('📊 Monthly Data'!F:F,A4,'📊 Monthly Data'!G:G)</f>
        <v>0.76608333333333323</v>
      </c>
      <c r="C4" s="37">
        <f>AVERAGEIF('📊 Monthly Data'!F:F,A4,'📊 Monthly Data'!H:H)</f>
        <v>692.58333333333337</v>
      </c>
      <c r="D4" s="37">
        <f>AVERAGEIF('📊 Monthly Data'!F:F,A4,'📊 Monthly Data'!I:I)</f>
        <v>552.52777777777783</v>
      </c>
      <c r="E4" s="37">
        <f>AVERAGEIF('📊 Monthly Data'!F:F,A4,'📊 Monthly Data'!R:R)</f>
        <v>247.3416666666667</v>
      </c>
      <c r="F4" s="38">
        <f>AVERAGEIF('📊 Monthly Data'!F:F,A4,'📊 Monthly Data'!O:O)</f>
        <v>63.008333333333354</v>
      </c>
      <c r="G4" s="39">
        <f>SUMIF('📊 Monthly Data'!F:F,A4,'📊 Monthly Data'!M:M)</f>
        <v>255829166</v>
      </c>
      <c r="H4" s="40" t="s">
        <v>121</v>
      </c>
    </row>
    <row r="5" spans="1:8" ht="45" customHeight="1" x14ac:dyDescent="0.3">
      <c r="A5" s="19" t="s">
        <v>87</v>
      </c>
      <c r="B5" s="21">
        <f>AVERAGEIF('📊 Monthly Data'!F:F,A5,'📊 Monthly Data'!G:G)</f>
        <v>0.64227777777777784</v>
      </c>
      <c r="C5" s="22">
        <f>AVERAGEIF('📊 Monthly Data'!F:F,A5,'📊 Monthly Data'!H:H)</f>
        <v>581.17361111111109</v>
      </c>
      <c r="D5" s="22">
        <f>AVERAGEIF('📊 Monthly Data'!F:F,A5,'📊 Monthly Data'!I:I)</f>
        <v>374.79861111111109</v>
      </c>
      <c r="E5" s="22">
        <f>AVERAGEIF('📊 Monthly Data'!F:F,A5,'📊 Monthly Data'!R:R)</f>
        <v>172.53125000000006</v>
      </c>
      <c r="F5" s="23">
        <f>AVERAGEIF('📊 Monthly Data'!F:F,A5,'📊 Monthly Data'!O:O)</f>
        <v>61.979166666666693</v>
      </c>
      <c r="G5" s="41">
        <f>SUMIF('📊 Monthly Data'!F:F,A5,'📊 Monthly Data'!M:M)</f>
        <v>695855072</v>
      </c>
      <c r="H5" s="42" t="s">
        <v>122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>
      <selection sqref="A1:G1"/>
    </sheetView>
  </sheetViews>
  <sheetFormatPr defaultRowHeight="14" x14ac:dyDescent="0.3"/>
  <cols>
    <col min="1" max="1" width="7" customWidth="1"/>
    <col min="2" max="2" width="22" customWidth="1"/>
    <col min="3" max="3" width="20" customWidth="1"/>
    <col min="4" max="4" width="15" customWidth="1"/>
    <col min="5" max="5" width="14" customWidth="1"/>
    <col min="6" max="6" width="22" customWidth="1"/>
    <col min="7" max="7" width="38" customWidth="1"/>
  </cols>
  <sheetData>
    <row r="1" spans="1:7" ht="32" customHeight="1" x14ac:dyDescent="0.3">
      <c r="A1" s="61" t="s">
        <v>123</v>
      </c>
      <c r="B1" s="60"/>
      <c r="C1" s="60"/>
      <c r="D1" s="60"/>
      <c r="E1" s="60"/>
      <c r="F1" s="60"/>
      <c r="G1" s="60"/>
    </row>
    <row r="2" spans="1:7" ht="36" customHeight="1" x14ac:dyDescent="0.3">
      <c r="A2" s="8" t="s">
        <v>124</v>
      </c>
      <c r="B2" s="8" t="s">
        <v>67</v>
      </c>
      <c r="C2" s="8" t="s">
        <v>125</v>
      </c>
      <c r="D2" s="8" t="s">
        <v>126</v>
      </c>
      <c r="E2" s="8" t="s">
        <v>127</v>
      </c>
      <c r="F2" s="8" t="s">
        <v>128</v>
      </c>
      <c r="G2" s="8" t="s">
        <v>129</v>
      </c>
    </row>
    <row r="3" spans="1:7" ht="32" customHeight="1" x14ac:dyDescent="0.3">
      <c r="A3" s="43">
        <v>1</v>
      </c>
      <c r="B3" s="43" t="s">
        <v>84</v>
      </c>
      <c r="C3" s="44">
        <v>195000000</v>
      </c>
      <c r="D3" s="45">
        <v>0.20123839009287919</v>
      </c>
      <c r="E3" s="45">
        <v>0.20123839009287919</v>
      </c>
      <c r="F3" s="46" t="s">
        <v>130</v>
      </c>
      <c r="G3" s="47" t="s">
        <v>131</v>
      </c>
    </row>
    <row r="4" spans="1:7" ht="32" customHeight="1" x14ac:dyDescent="0.3">
      <c r="A4" s="43">
        <v>2</v>
      </c>
      <c r="B4" s="43" t="s">
        <v>101</v>
      </c>
      <c r="C4" s="44">
        <v>148000000</v>
      </c>
      <c r="D4" s="45">
        <v>0.15273477812177499</v>
      </c>
      <c r="E4" s="45">
        <v>0.3539731682146543</v>
      </c>
      <c r="F4" s="46" t="s">
        <v>130</v>
      </c>
      <c r="G4" s="47" t="s">
        <v>131</v>
      </c>
    </row>
    <row r="5" spans="1:7" ht="32" customHeight="1" x14ac:dyDescent="0.3">
      <c r="A5" s="43">
        <v>3</v>
      </c>
      <c r="B5" s="43" t="s">
        <v>102</v>
      </c>
      <c r="C5" s="44">
        <v>132000000</v>
      </c>
      <c r="D5" s="45">
        <v>0.13622291021671831</v>
      </c>
      <c r="E5" s="45">
        <v>0.49019607843137258</v>
      </c>
      <c r="F5" s="46" t="s">
        <v>130</v>
      </c>
      <c r="G5" s="47" t="s">
        <v>131</v>
      </c>
    </row>
    <row r="6" spans="1:7" ht="32" customHeight="1" x14ac:dyDescent="0.3">
      <c r="A6" s="43">
        <v>4</v>
      </c>
      <c r="B6" s="43" t="s">
        <v>103</v>
      </c>
      <c r="C6" s="44">
        <v>122000000</v>
      </c>
      <c r="D6" s="45">
        <v>0.12590299277605779</v>
      </c>
      <c r="E6" s="45">
        <v>0.61609907120743035</v>
      </c>
      <c r="F6" s="46" t="s">
        <v>130</v>
      </c>
      <c r="G6" s="47" t="s">
        <v>131</v>
      </c>
    </row>
    <row r="7" spans="1:7" ht="32" customHeight="1" x14ac:dyDescent="0.3">
      <c r="A7" s="43">
        <v>5</v>
      </c>
      <c r="B7" s="43" t="s">
        <v>104</v>
      </c>
      <c r="C7" s="44">
        <v>98000000</v>
      </c>
      <c r="D7" s="45">
        <v>0.1011351909184727</v>
      </c>
      <c r="E7" s="45">
        <v>0.71723426212590302</v>
      </c>
      <c r="F7" s="46" t="s">
        <v>130</v>
      </c>
      <c r="G7" s="47" t="s">
        <v>131</v>
      </c>
    </row>
    <row r="8" spans="1:7" ht="32" customHeight="1" x14ac:dyDescent="0.3">
      <c r="A8" s="43">
        <v>6</v>
      </c>
      <c r="B8" s="43" t="s">
        <v>105</v>
      </c>
      <c r="C8" s="44">
        <v>90000000</v>
      </c>
      <c r="D8" s="45">
        <v>9.2879256965944276E-2</v>
      </c>
      <c r="E8" s="45">
        <v>0.81011351909184726</v>
      </c>
      <c r="F8" s="46" t="s">
        <v>130</v>
      </c>
      <c r="G8" s="47" t="s">
        <v>131</v>
      </c>
    </row>
    <row r="9" spans="1:7" ht="32" customHeight="1" x14ac:dyDescent="0.3">
      <c r="A9" s="48">
        <v>7</v>
      </c>
      <c r="B9" s="48" t="s">
        <v>106</v>
      </c>
      <c r="C9" s="49">
        <v>74000000</v>
      </c>
      <c r="D9" s="50">
        <v>7.6367389060887511E-2</v>
      </c>
      <c r="E9" s="50">
        <v>0.88648090815273473</v>
      </c>
      <c r="F9" s="51" t="s">
        <v>132</v>
      </c>
      <c r="G9" s="52" t="s">
        <v>133</v>
      </c>
    </row>
    <row r="10" spans="1:7" ht="32" customHeight="1" x14ac:dyDescent="0.3">
      <c r="A10" s="48">
        <v>8</v>
      </c>
      <c r="B10" s="48" t="s">
        <v>108</v>
      </c>
      <c r="C10" s="49">
        <v>66000000</v>
      </c>
      <c r="D10" s="50">
        <v>6.8111455108359129E-2</v>
      </c>
      <c r="E10" s="50">
        <v>0.95459236326109387</v>
      </c>
      <c r="F10" s="51" t="s">
        <v>132</v>
      </c>
      <c r="G10" s="52" t="s">
        <v>133</v>
      </c>
    </row>
    <row r="11" spans="1:7" ht="32" customHeight="1" x14ac:dyDescent="0.3">
      <c r="A11" s="48">
        <v>9</v>
      </c>
      <c r="B11" s="48" t="s">
        <v>110</v>
      </c>
      <c r="C11" s="49">
        <v>44000000</v>
      </c>
      <c r="D11" s="50">
        <v>4.540763673890609E-2</v>
      </c>
      <c r="E11" s="50">
        <v>1</v>
      </c>
      <c r="F11" s="51" t="s">
        <v>132</v>
      </c>
      <c r="G11" s="52" t="s">
        <v>133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tabSelected="1" workbookViewId="0">
      <selection activeCell="C5" sqref="C5"/>
    </sheetView>
  </sheetViews>
  <sheetFormatPr defaultRowHeight="14" x14ac:dyDescent="0.3"/>
  <cols>
    <col min="1" max="1" width="7" customWidth="1"/>
    <col min="2" max="2" width="28" customWidth="1"/>
    <col min="3" max="3" width="65" customWidth="1"/>
  </cols>
  <sheetData>
    <row r="1" spans="1:3" ht="32" customHeight="1" x14ac:dyDescent="0.3">
      <c r="A1" s="59" t="s">
        <v>134</v>
      </c>
      <c r="B1" s="60"/>
      <c r="C1" s="60"/>
    </row>
    <row r="2" spans="1:3" ht="32" customHeight="1" x14ac:dyDescent="0.3">
      <c r="A2" s="1" t="s">
        <v>135</v>
      </c>
      <c r="B2" s="1" t="s">
        <v>129</v>
      </c>
      <c r="C2" s="1" t="s">
        <v>136</v>
      </c>
    </row>
    <row r="3" spans="1:3" ht="55" customHeight="1" x14ac:dyDescent="0.3">
      <c r="A3" s="53" t="s">
        <v>137</v>
      </c>
      <c r="B3" s="54" t="s">
        <v>138</v>
      </c>
      <c r="C3" s="55" t="s">
        <v>139</v>
      </c>
    </row>
    <row r="4" spans="1:3" ht="55" customHeight="1" x14ac:dyDescent="0.3">
      <c r="A4" s="56" t="s">
        <v>140</v>
      </c>
      <c r="B4" s="57" t="s">
        <v>141</v>
      </c>
      <c r="C4" s="58" t="s">
        <v>142</v>
      </c>
    </row>
    <row r="5" spans="1:3" ht="55" customHeight="1" x14ac:dyDescent="0.3">
      <c r="A5" s="53" t="s">
        <v>143</v>
      </c>
      <c r="B5" s="54" t="s">
        <v>144</v>
      </c>
      <c r="C5" s="55" t="s">
        <v>145</v>
      </c>
    </row>
    <row r="6" spans="1:3" ht="55" customHeight="1" x14ac:dyDescent="0.3">
      <c r="A6" s="56" t="s">
        <v>146</v>
      </c>
      <c r="B6" s="57" t="s">
        <v>147</v>
      </c>
      <c r="C6" s="58" t="s">
        <v>148</v>
      </c>
    </row>
    <row r="7" spans="1:3" ht="55" customHeight="1" x14ac:dyDescent="0.3">
      <c r="A7" s="53" t="s">
        <v>149</v>
      </c>
      <c r="B7" s="54" t="s">
        <v>150</v>
      </c>
      <c r="C7" s="55" t="s">
        <v>151</v>
      </c>
    </row>
    <row r="8" spans="1:3" ht="55" customHeight="1" x14ac:dyDescent="0.3">
      <c r="A8" s="56" t="s">
        <v>152</v>
      </c>
      <c r="B8" s="57" t="s">
        <v>153</v>
      </c>
      <c r="C8" s="58" t="s">
        <v>154</v>
      </c>
    </row>
    <row r="9" spans="1:3" ht="55" customHeight="1" x14ac:dyDescent="0.3">
      <c r="A9" s="53" t="s">
        <v>155</v>
      </c>
      <c r="B9" s="54" t="s">
        <v>156</v>
      </c>
      <c r="C9" s="55" t="s">
        <v>157</v>
      </c>
    </row>
    <row r="10" spans="1:3" ht="55" customHeight="1" x14ac:dyDescent="0.3">
      <c r="A10" s="56" t="s">
        <v>158</v>
      </c>
      <c r="B10" s="57" t="s">
        <v>159</v>
      </c>
      <c r="C10" s="58" t="s">
        <v>160</v>
      </c>
    </row>
    <row r="11" spans="1:3" ht="55" customHeight="1" x14ac:dyDescent="0.3">
      <c r="A11" s="53" t="s">
        <v>161</v>
      </c>
      <c r="B11" s="54" t="s">
        <v>162</v>
      </c>
      <c r="C11" s="55" t="s">
        <v>163</v>
      </c>
    </row>
    <row r="12" spans="1:3" ht="55" customHeight="1" x14ac:dyDescent="0.3">
      <c r="A12" s="56" t="s">
        <v>164</v>
      </c>
      <c r="B12" s="57" t="s">
        <v>165</v>
      </c>
      <c r="C12" s="58" t="s">
        <v>166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📚 KPI Glossary</vt:lpstr>
      <vt:lpstr>📊 Monthly Data</vt:lpstr>
      <vt:lpstr>🏨 Hotel Summary</vt:lpstr>
      <vt:lpstr>📅 Seasonal Analysis</vt:lpstr>
      <vt:lpstr>📈 Pareto Analysis</vt:lpstr>
      <vt:lpstr>🔧 Power BI Build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rajaa alkanawi</cp:lastModifiedBy>
  <dcterms:created xsi:type="dcterms:W3CDTF">2026-04-20T13:27:51Z</dcterms:created>
  <dcterms:modified xsi:type="dcterms:W3CDTF">2026-04-21T10:13:12Z</dcterms:modified>
</cp:coreProperties>
</file>